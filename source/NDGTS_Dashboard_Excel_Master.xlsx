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2e7b29cac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_Dictionary" sheetId="1" r:id="Rb70c3fdb53e14677"/>
    <x:sheet xmlns:r="http://schemas.openxmlformats.org/officeDocument/2006/relationships" name="Dashboard_Values" sheetId="2" r:id="R77653a9a5ba849a5"/>
    <x:sheet xmlns:r="http://schemas.openxmlformats.org/officeDocument/2006/relationships" name="Metric_Calculation_Values" sheetId="3" r:id="R0511cdb9d6b34e8f"/>
    <x:sheet xmlns:r="http://schemas.openxmlformats.org/officeDocument/2006/relationships" name="Dashboard_Export" sheetId="4" r:id="Rf6db51a5118644bd"/>
    <x:sheet xmlns:r="http://schemas.openxmlformats.org/officeDocument/2006/relationships" name="Narrative" sheetId="5" r:id="Racd6768aeca3411a"/>
    <x:sheet xmlns:r="http://schemas.openxmlformats.org/officeDocument/2006/relationships" name="Board_Briefing" sheetId="6" r:id="R781d4434b5384d79"/>
    <x:sheet xmlns:r="http://schemas.openxmlformats.org/officeDocument/2006/relationships" name="Instructions" sheetId="7" r:id="R907f2d502fe1476d"/>
    <x:sheet xmlns:r="http://schemas.openxmlformats.org/officeDocument/2006/relationships" name="SU 2026 All Team" sheetId="8" r:id="R71c1b77f66b246fc"/>
    <x:sheet xmlns:r="http://schemas.openxmlformats.org/officeDocument/2006/relationships" name="Ops" sheetId="9" r:id="R4ac22f31736e421d"/>
    <x:sheet xmlns:r="http://schemas.openxmlformats.org/officeDocument/2006/relationships" name="Education" sheetId="10" r:id="R5758970ee3d34559"/>
    <x:sheet xmlns:r="http://schemas.openxmlformats.org/officeDocument/2006/relationships" name="Public Engagement" sheetId="11" r:id="Rb4a180f2c6fd4df4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<x:sst xmlns:x="http://schemas.openxmlformats.org/spreadsheetml/2006/main">
  <x:si>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metric_key</x:t>
  </x:si>
  <x:si>
    <x:t xml:space="preserve">section</x:t>
  </x:si>
  <x:si>
    <x:t xml:space="preserve">metric_label</x:t>
  </x:si>
  <x:si>
    <x:t xml:space="preserve">unit</x:t>
  </x:si>
  <x:si>
    <x:t xml:space="preserve">icon</x:t>
  </x:si>
  <x:si>
    <x:t xml:space="preserve">sort_order</x:t>
  </x:si>
  <x:si>
    <x:t xml:space="preserve">show_on_dashboard</x:t>
  </x:si>
  <x:si>
    <x:t xml:space="preserve">goal</x:t>
  </x:si>
  <x:si>
    <x:t xml:space="preserve">sub</x:t>
  </x:si>
  <x:si>
    <x:t xml:space="preserve">overall_health_score</x:t>
  </x:si>
  <x:si>
    <x:t xml:space="preserve">system</x:t>
  </x:si>
  <x:si>
    <x:t xml:space="preserve">Overall Organizational Health</x:t>
  </x:si>
  <x:si>
    <x:t xml:space="preserve">score</x:t>
  </x:si>
  <x:si>
    <x:t xml:space="preserve">fa-gauge-high</x:t>
  </x:si>
  <x:si>
    <x:t xml:space="preserve">Y</x:t>
  </x:si>
  <x:si>
    <x:t xml:space="preserve">Composite of mission, finance, and sustainability indicators.</x:t>
  </x:si>
  <x:si>
    <x:t xml:space="preserve">mission_index</x:t>
  </x:si>
  <x:si>
    <x:t xml:space="preserve">Mission Impact Index</x:t>
  </x:si>
  <x:si>
    <x:t xml:space="preserve">fa-bullseye</x:t>
  </x:si>
  <x:si>
    <x:t xml:space="preserve">Are we achieving what we exist to do?</x:t>
  </x:si>
  <x:si>
    <x:t xml:space="preserve">financial_index</x:t>
  </x:si>
  <x:si>
    <x:t xml:space="preserve">Financial Strength Index</x:t>
  </x:si>
  <x:si>
    <x:t xml:space="preserve">fa-chart-line</x:t>
  </x:si>
  <x:si>
    <x:t xml:space="preserve">Are we operating like a healthy organization?</x:t>
  </x:si>
  <x:si>
    <x:t xml:space="preserve">sustainability_index</x:t>
  </x:si>
  <x:si>
    <x:t xml:space="preserve">Sustainability Index</x:t>
  </x:si>
  <x:si>
    <x:t xml:space="preserve">fa-seedling</x:t>
  </x:si>
  <x:si>
    <x:t xml:space="preserve">Will we remain relevant and grow?</x:t>
  </x:si>
  <x:si>
    <x:t xml:space="preserve">students_impacted</x:t>
  </x:si>
  <x:si>
    <x:t xml:space="preserve">mission</x:t>
  </x:si>
  <x:si>
    <x:t xml:space="preserve">Households Reached</x:t>
  </x:si>
  <x:si>
    <x:t xml:space="preserve">percent</x:t>
  </x:si>
  <x:si>
    <x:t xml:space="preserve">fa-user-graduate</x:t>
  </x:si>
  <x:si>
    <x:t xml:space="preserve">Percent of regional students served.</x:t>
  </x:si>
  <x:si>
    <x:t xml:space="preserve">population_reached</x:t>
  </x:si>
  <x:si>
    <x:t xml:space="preserve">Population Reached</x:t>
  </x:si>
  <x:si>
    <x:t xml:space="preserve">number</x:t>
  </x:si>
  <x:si>
    <x:t xml:space="preserve">fa-people-group</x:t>
  </x:si>
  <x:si>
    <x:t xml:space="preserve">Annual engagements.</x:t>
  </x:si>
  <x:si>
    <x:t xml:space="preserve">schools_reached</x:t>
  </x:si>
  <x:si>
    <x:t xml:space="preserve">Schools Reached</x:t>
  </x:si>
  <x:si>
    <x:t xml:space="preserve">fa-school</x:t>
  </x:si>
  <x:si>
    <x:t xml:space="preserve">Percent of North Dakota schools served.</x:t>
  </x:si>
  <x:si>
    <x:t xml:space="preserve">earned_revenue_ratio</x:t>
  </x:si>
  <x:si>
    <x:t xml:space="preserve">financial</x:t>
  </x:si>
  <x:si>
    <x:t xml:space="preserve">Earned Revenue Ratio</x:t>
  </x:si>
  <x:si>
    <x:t xml:space="preserve">fa-hand-holding-dollar</x:t>
  </x:si>
  <x:si>
    <x:t xml:space="preserve">Earned revenue share.</x:t>
  </x:si>
  <x:si>
    <x:t xml:space="preserve">program_spending</x:t>
  </x:si>
  <x:si>
    <x:t xml:space="preserve">Program Spending</x:t>
  </x:si>
  <x:si>
    <x:t xml:space="preserve">Percent of expenses directed to programs.</x:t>
  </x:si>
  <x:si>
    <x:t xml:space="preserve">revenue_diversity</x:t>
  </x:si>
  <x:si>
    <x:t xml:space="preserve">Revenue Diversity</x:t>
  </x:si>
  <x:si>
    <x:t xml:space="preserve">fa-chart-pie</x:t>
  </x:si>
  <x:si>
    <x:t xml:space="preserve">Number of meaningful revenue streams.</x:t>
  </x:si>
  <x:si>
    <x:t xml:space="preserve">non_local_participation</x:t>
  </x:si>
  <x:si>
    <x:t xml:space="preserve">sustainability</x:t>
  </x:si>
  <x:si>
    <x:t xml:space="preserve">Non-Local Participation</x:t>
  </x:si>
  <x:si>
    <x:t xml:space="preserve">fa-map</x:t>
  </x:si>
  <x:si>
    <x:t xml:space="preserve">Participation from outside the local market.</x:t>
  </x:si>
  <x:si>
    <x:t xml:space="preserve">outreach_participation</x:t>
  </x:si>
  <x:si>
    <x:t xml:space="preserve">Outreach Participation</x:t>
  </x:si>
  <x:si>
    <x:t xml:space="preserve">fa-truck</x:t>
  </x:si>
  <x:si>
    <x:t xml:space="preserve">Offsite and outreach engagement share.</x:t>
  </x:si>
  <x:si>
    <x:t xml:space="preserve">strategic_partnerships</x:t>
  </x:si>
  <x:si>
    <x:t xml:space="preserve">Strategic Partnerships</x:t>
  </x:si>
  <x:si>
    <x:t xml:space="preserve">fa-handshake</x:t>
  </x:si>
  <x:si>
    <x:t xml:space="preserve">Active or emerging strategic partnerships.</x:t>
  </x:si>
  <x:si>
    <x:t xml:space="preserve">snapshot_date</x:t>
  </x:si>
  <x:si>
    <x:t xml:space="preserve">value</x:t>
  </x:si>
  <x:si>
    <x:t xml:space="preserve">index_key</x:t>
  </x:si>
  <x:si>
    <x:t xml:space="preserve">component_key</x:t>
  </x:si>
  <x:si>
    <x:t xml:space="preserve">component_type</x:t>
  </x:si>
  <x:si>
    <x:t xml:space="preserve">weight</x:t>
  </x:si>
  <x:si>
    <x:t xml:space="preserve">direction</x:t>
  </x:si>
  <x:si>
    <x:t xml:space="preserve">scoring_method</x:t>
  </x:si>
  <x:si>
    <x:t xml:space="preserve">minimum</x:t>
  </x:si>
  <x:si>
    <x:t xml:space="preserve">maximum</x:t>
  </x:si>
  <x:si>
    <x:t xml:space="preserve">cap_at_100</x:t>
  </x:si>
  <x:si>
    <x:t xml:space="preserve">active</x:t>
  </x:si>
  <x:si>
    <x:t xml:space="preserve">notes</x:t>
  </x:si>
  <x:si>
    <x:t xml:space="preserve">How the rules work</x:t>
  </x:si>
  <x:si>
    <x:t xml:space="preserve">index</x:t>
  </x:si>
  <x:si>
    <x:t xml:space="preserve">higher</x:t>
  </x:si>
  <x:si>
    <x:t xml:space="preserve">Uses the calculated Mission Impact Index score.</x:t>
  </x:si>
  <x:si>
    <x:t xml:space="preserve">Field</x:t>
  </x:si>
  <x:si>
    <x:t xml:space="preserve">Meaning</x:t>
  </x:si>
  <x:si>
    <x:t xml:space="preserve">Example</x:t>
  </x:si>
  <x:si>
    <x:t xml:space="preserve">Uses the calculated Financial Strength Index score.</x:t>
  </x:si>
  <x:si>
    <x:t xml:space="preserve">Percent contribution within an index</x:t>
  </x:si>
  <x:si>
    <x:t xml:space="preserve">33.33</x:t>
  </x:si>
  <x:si>
    <x:t xml:space="preserve">Uses the calculated Sustainability Index score.</x:t>
  </x:si>
  <x:si>
    <x:t xml:space="preserve">Whether higher or lower values are better</x:t>
  </x:si>
  <x:si>
    <x:t xml:space="preserve">metric</x:t>
  </x:si>
  <x:si>
    <x:t xml:space="preserve">100 points when the goal is reached.</x:t>
  </x:si>
  <x:si>
    <x:t xml:space="preserve">How the 0–100 component score is calculated</x:t>
  </x:si>
  <x:si>
    <x:t xml:space="preserve">target</x:t>
  </x:si>
  <x:si>
    <x:t xml:space="preserve">Value that earns 100 points</x:t>
  </x:si>
  <x:si>
    <x:t xml:space="preserve">18</x:t>
  </x:si>
  <x:si>
    <x:t xml:space="preserve">Prevents exceeding 100 points</x:t>
  </x:si>
  <x:si>
    <x:t xml:space="preserve">Include the rule in calculations</x:t>
  </x:si>
  <x:si>
    <x:t xml:space="preserve">Scoring formulas</x:t>
  </x:si>
  <x:si>
    <x:t xml:space="preserve">Method</x:t>
  </x:si>
  <x:si>
    <x:t xml:space="preserve">Formula</x:t>
  </x:si>
  <x:si>
    <x:t xml:space="preserve">Use</x:t>
  </x:si>
  <x:si>
    <x:t xml:space="preserve">MIN(100, value / target × 100)</x:t>
  </x:si>
  <x:si>
    <x:t xml:space="preserve">Higher is better</x:t>
  </x:si>
  <x:si>
    <x:t xml:space="preserve">direct_score</x:t>
  </x:si>
  <x:si>
    <x:t xml:space="preserve">Use the component score as-is</x:t>
  </x:si>
  <x:si>
    <x:t xml:space="preserve">Index inside overall score</x:t>
  </x:si>
  <x:si>
    <x:t xml:space="preserve">key</x:t>
  </x:si>
  <x:si>
    <x:t xml:space="preserve">board_story</x:t>
  </x:si>
  <x:si>
    <x:t xml:space="preserve">Gateway is becoming statewide STEM infrastructure rather than simply a regional destination.</x:t>
  </x:si>
  <x:si>
    <x:t xml:space="preserve">mission_callout</x:t>
  </x:si>
  <x:si>
    <x:t xml:space="preserve">We now reach approximately one in six North Dakota students annually.</x:t>
  </x:si>
  <x:si>
    <x:t xml:space="preserve">financial_callout</x:t>
  </x:si>
  <x:si>
    <x:t xml:space="preserve">Revenue streams remain diversified and program spending remains mission-aligned.</x:t>
  </x:si>
  <x:si>
    <x:t xml:space="preserve">sustainability_callout</x:t>
  </x:si>
  <x:si>
    <x:t xml:space="preserve">Growth opportunities remain strongest in rural engagement, outreach, and statewide partnerships.</x:t>
  </x:si>
  <x:si>
    <x:t xml:space="preserve">Revenue Diversification</x:t>
  </x:si>
  <x:si>
    <x:t xml:space="preserve">Gallery Admission, Membership, Rental Space, Onsite Programs, Offsite Programs, Corporate Membership Program, Grants, EOW, GHD, Power the Mission, Endowment</x:t>
  </x:si>
  <x:si>
    <x:t xml:space="preserve">Society for Science, NDSU, ND OST Network, ND STEM Ecosystem, BSC, CHI St. Alexius, ND Ethanol Council, ND Petroleum Council, Franklin Institute, BVMPL, MMPL</x:t>
  </x:si>
  <x:si>
    <x:t xml:space="preserve">event_date</x:t>
  </x:si>
  <x:si>
    <x:t xml:space="preserve">category</x:t>
  </x:si>
  <x:si>
    <x:t xml:space="preserve">title</x:t>
  </x:si>
  <x:si>
    <x:t xml:space="preserve">details</x:t>
  </x:si>
  <x:si>
    <x:t xml:space="preserve">importance</x:t>
  </x:si>
  <x:si>
    <x:t xml:space="preserve">Recognition</x:t>
  </x:si>
  <x:si>
    <x:t xml:space="preserve">Visitor from Ireland</x:t>
  </x:si>
  <x:si>
    <x:t xml:space="preserve">Rated the experience 5/5 and praised the science center's statewide STEM impact.</x:t>
  </x:si>
  <x:si>
    <x:t xml:space="preserve">Medium</x:t>
  </x:si>
  <x:si>
    <x:t xml:space="preserve">2026-06-18</x:t>
  </x:si>
  <x:si>
    <x:t xml:space="preserve">Opportunity</x:t>
  </x:si>
  <x:si>
    <x:t xml:space="preserve">Foundation Partnership</x:t>
  </x:si>
  <x:si>
    <x:t xml:space="preserve">Foundation requested an exploratory discussion regarding a statewide STEM access grant.</x:t>
  </x:si>
  <x:si>
    <x:t xml:space="preserve">High</x:t>
  </x:si>
  <x:si>
    <x:t xml:space="preserve">2026-06-20</x:t>
  </x:si>
  <x:si>
    <x:t xml:space="preserve">Partnership</x:t>
  </x:si>
  <x:si>
    <x:t xml:space="preserve">University Collaboration</x:t>
  </x:si>
  <x:si>
    <x:t xml:space="preserve">Initial discussion regarding outreach collaboration and teacher integration.</x:t>
  </x:si>
  <x:si>
    <x:t xml:space="preserve">2026-05-22</x:t>
  </x:si>
  <x:si>
    <x:t xml:space="preserve">Watch Item</x:t>
  </x:si>
  <x:si>
    <x:t xml:space="preserve">Outreach Staffing Capacity</x:t>
  </x:si>
  <x:si>
    <x:t xml:space="preserve">Outreach demand is increasing and may require staffing discussion before expansion.</x:t>
  </x:si>
  <x:si>
    <x:t xml:space="preserve">N</x:t>
  </x:si>
  <x:si>
    <x:t xml:space="preserve">sfd</x:t>
  </x:si>
  <x:si>
    <x:t xml:space="preserve">this is the correct spreadsheet. c</x:t>
  </x:si>
  <x:si>
    <x:t xml:space="preserve">North Dakota State Science Center Board Dashboard Data Model</x:t>
  </x:si>
  <x:si>
    <x:t xml:space="preserve">Workflow</x:t>
  </x:si>
  <x:si>
    <x:t xml:space="preserve">1. Add or edit metric definitions in Metric_Dictionary. These values are mostly setup/config and should not be repeated in data entry.</x:t>
  </x:si>
  <x:si>
    <x:t xml:space="preserve">2. Enter board-period metric values in Dashboard_Values. Users only need snapshot_date, metric_key, and value.</x:t>
  </x:si>
  <x:si>
    <x:t xml:space="preserve">3. Publish Dashboard_Export as CSV for the HTML dashboard. It combines Dashboard_Values with Metric_Dictionary.</x:t>
  </x:si>
  <x:si>
    <x:t xml:space="preserve">4. Publish Narrative as CSV for the story/callout text.</x:t>
  </x:si>
  <x:si>
    <x:t xml:space="preserve">5. Publish Board_Briefing as CSV for recent highlights and archive items.</x:t>
  </x:si>
  <x:si>
    <x:t xml:space="preserve">Unit rules</x:t>
  </x:si>
  <x:si>
    <x:t xml:space="preserve">percent = enter 15 for 15%; number = enter 97000; score = enter 78 for 78/100; currency = enter raw dollars.</x:t>
  </x:si>
  <x:si>
    <x:t xml:space="preserve">Do not overwrite historical rows. Add new snapshot_date rows over time.</x:t>
  </x:si>
  <x:si>
    <x:t xml:space="preserve">Week 1</x:t>
  </x:si>
  <x:si>
    <x:t xml:space="preserve">Week 2</x:t>
  </x:si>
  <x:si>
    <x:t xml:space="preserve">Week 3</x:t>
  </x:si>
  <x:si>
    <x:t xml:space="preserve">Week 4</x:t>
  </x:si>
  <x:si>
    <x:t xml:space="preserve">Week 5</x:t>
  </x:si>
  <x:si>
    <x:t xml:space="preserve">Week 6</x:t>
  </x:si>
  <x:si>
    <x:t xml:space="preserve">Week 7</x:t>
  </x:si>
  <x:si>
    <x:t xml:space="preserve">Week 8</x:t>
  </x:si>
  <x:si>
    <x:t xml:space="preserve">Week 9</x:t>
  </x:si>
  <x:si>
    <x:t xml:space="preserve">Week 10</x:t>
  </x:si>
  <x:si>
    <x:t xml:space="preserve">Week 11</x:t>
  </x:si>
  <x:si>
    <x:t xml:space="preserve">Week 12</x:t>
  </x:si>
  <x:si>
    <x:t xml:space="preserve">Week 13</x:t>
  </x:si>
  <x:si>
    <x:t xml:space="preserve">Week 14</x:t>
  </x:si>
  <x:si>
    <x:t xml:space="preserve">Week 15</x:t>
  </x:si>
  <x:si>
    <x:t xml:space="preserve">Week 16</x:t>
  </x:si>
  <x:si>
    <x:t xml:space="preserve">Team Member</x:t>
  </x:si>
  <x:si>
    <x:t xml:space="preserve">Team</x:t>
  </x:si>
  <x:si>
    <x:t xml:space="preserve">Metric</x:t>
  </x:si>
  <x:si>
    <x:t xml:space="preserve">Purpose</x:t>
  </x:si>
  <x:si>
    <x:t xml:space="preserve">Source</x:t>
  </x:si>
  <x:si>
    <x:t xml:space="preserve">Threshold #</x:t>
  </x:si>
  <x:si>
    <x:t xml:space="preserve">Goal #</x:t>
  </x:si>
  <x:si>
    <x:t xml:space="preserve">Operations</x:t>
  </x:si>
  <x:si>
    <x:t xml:space="preserve">Overdue A/R (30 Days)</x:t>
  </x:si>
  <x:si>
    <x:t xml:space="preserve">We're managing our cashflow and payments. </x:t>
  </x:si>
  <x:si>
    <x:t xml:space="preserve">Quickbooks</x:t>
  </x:si>
  <x:si>
    <x:t xml:space="preserve">Down exhibits</x:t>
  </x:si>
  <x:si>
    <x:t xml:space="preserve">We're maintaining exhibits for visitors. </x:t>
  </x:si>
  <x:si>
    <x:t xml:space="preserve">Manual</x:t>
  </x:si>
  <x:si>
    <x:t xml:space="preserve">Kristie</x:t>
  </x:si>
  <x:si>
    <x:t xml:space="preserve">Event Participation</x:t>
  </x:si>
  <x:si>
    <x:t xml:space="preserve">Our facility is welcoming community members beyond the gallery.</x:t>
  </x:si>
  <x:si>
    <x:t xml:space="preserve">SalesForce</x:t>
  </x:si>
  <x:si>
    <x:t xml:space="preserve">Education</x:t>
  </x:si>
  <x:si>
    <x:t xml:space="preserve">Onsite Participation</x:t>
  </x:si>
  <x:si>
    <x:t xml:space="preserve">We're growing our onsite programming participation.</x:t>
  </x:si>
  <x:si>
    <x:t xml:space="preserve">Veevart</x:t>
  </x:si>
  <x:si>
    <x:t xml:space="preserve">Partnerships</x:t>
  </x:si>
  <x:si>
    <x:t xml:space="preserve">Offsite Participation</x:t>
  </x:si>
  <x:si>
    <x:t xml:space="preserve">We're growing our educational reach. </x:t>
  </x:si>
  <x:si>
    <x:t xml:space="preserve">Programs Sheet</x:t>
  </x:si>
  <x:si>
    <x:t xml:space="preserve">Products</x:t>
  </x:si>
  <x:si>
    <x:t xml:space="preserve">Public Engagement</x:t>
  </x:si>
  <x:si>
    <x:t xml:space="preserve">Facebook Views</x:t>
  </x:si>
  <x:si>
    <x:t xml:space="preserve">We're engaging with followers on our largest platform.</x:t>
  </x:si>
  <x:si>
    <x:t xml:space="preserve">Meta</x:t>
  </x:si>
  <x:si>
    <x:t xml:space="preserve">Gallery Visitors</x:t>
  </x:si>
  <x:si>
    <x:t xml:space="preserve">Our gallery is a place the community frequents.</x:t>
  </x:si>
  <x:si>
    <x:t xml:space="preserve">Community</x:t>
  </x:si>
  <x:si>
    <x:t xml:space="preserve">Memberships</x:t>
  </x:si>
  <x:si>
    <x:t xml:space="preserve">We're growing new and renewing comm memberships.</x:t>
  </x:si>
  <x:si>
    <x:t xml:space="preserve">Determinants: metrics that 1) reflect mission impact, growth, and issues, 2) have someone accountable, and 3) indicate change.</x:t>
  </x:si>
  <x:si>
    <x:t xml:space="preserve">Sherri</x:t>
  </x:si>
  <x:si>
    <x:t xml:space="preserve">We're managing our cashflow and receivables.</x:t>
  </x:si>
  <x:si>
    <x:t xml:space="preserve">Facility Events</x:t>
  </x:si>
  <x:si>
    <x:t xml:space="preserve">Our facility events are supporting our mission. (1mo)</x:t>
  </x:si>
  <x:si>
    <x:t xml:space="preserve">Outlook calendar</x:t>
  </x:si>
  <x:si>
    <x:t xml:space="preserve">Birthday Parties</x:t>
  </x:si>
  <x:si>
    <x:t xml:space="preserve">Our facility is welcoming community members to event spaces.</x:t>
  </x:si>
  <x:si>
    <x:t xml:space="preserve">Master calendar</x:t>
  </x:si>
  <x:si>
    <x:t xml:space="preserve">Beth</x:t>
  </x:si>
  <x:si>
    <x:t xml:space="preserve">Teamwork Overdue - Fac/Eve/Ops</x:t>
  </x:si>
  <x:si>
    <x:t xml:space="preserve">We're completing projects and tasks as scoped and on time. </x:t>
  </x:si>
  <x:si>
    <x:t xml:space="preserve">Teamwork</x:t>
  </x:si>
  <x:si>
    <x:t xml:space="preserve">Alisha</x:t>
  </x:si>
  <x:si>
    <x:t xml:space="preserve">Onsite Programming</x:t>
  </x:si>
  <x:si>
    <x:t xml:space="preserve">We're growing onsite programming (Last 30 days, compared to last year.)</x:t>
  </x:si>
  <x:si>
    <x:t xml:space="preserve">Onsite</x:t>
  </x:si>
  <x:si>
    <x:t xml:space="preserve">Onsite Participants</x:t>
  </x:si>
  <x:si>
    <x:t xml:space="preserve">We're continually providing events (Last 30 days)</x:t>
  </x:si>
  <x:si>
    <x:t xml:space="preserve">We're inviting the public outside of gallery visits and rental events (1 month rolling)</x:t>
  </x:si>
  <x:si>
    <x:t xml:space="preserve">Master Calendar</x:t>
  </x:si>
  <x:si>
    <x:t xml:space="preserve">Teamwork - Gallery</x:t>
  </x:si>
  <x:si>
    <x:t xml:space="preserve">We're staying on top of tasks (Gallery)</x:t>
  </x:si>
  <x:si>
    <x:t xml:space="preserve">Teamwork - Education</x:t>
  </x:si>
  <x:si>
    <x:t xml:space="preserve">We're staying on top of tasks (Education)</x:t>
  </x:si>
  <x:si>
    <x:t xml:space="preserve">8</x:t>
  </x:si>
  <x:si>
    <x:t xml:space="preserve">4</x:t>
  </x:si>
  <x:si>
    <x:t xml:space="preserve">Growing Programming</x:t>
  </x:si>
  <x:si>
    <x:t xml:space="preserve">Onsite Camps/Clubs</x:t>
  </x:si>
  <x:si>
    <x:t xml:space="preserve">We are filling onsite camps and clubs to capacity</x:t>
  </x:si>
  <x:si>
    <x:t xml:space="preserve">Attendance/Programs Sheet</x:t>
  </x:si>
  <x:si>
    <x:t xml:space="preserve">Hope</x:t>
  </x:si>
  <x:si>
    <x:t xml:space="preserve">Offsite Participants</x:t>
  </x:si>
  <x:si>
    <x:t xml:space="preserve">We're growing offsite programming (Last 30 days, compared to last year.)</x:t>
  </x:si>
  <x:si>
    <x:t xml:space="preserve">0%</x:t>
  </x:si>
  <x:si>
    <x:t xml:space="preserve">12%</x:t>
  </x:si>
  <x:si>
    <x:t xml:space="preserve">We're growing our offsite programming reach (Last 30 days)</x:t>
  </x:si>
  <x:si>
    <x:t xml:space="preserve">300</x:t>
  </x:si>
  <x:si>
    <x:t xml:space="preserve">600</x:t>
  </x:si>
  <x:si>
    <x:t xml:space="preserve">Community Partners</x:t>
  </x:si>
  <x:si>
    <x:t xml:space="preserve">Community partnerships in programming (1 month rolling)</x:t>
  </x:si>
  <x:si>
    <x:t xml:space="preserve">Master Calendar + Summer Camp Schedule</x:t>
  </x:si>
  <x:si>
    <x:t xml:space="preserve">6</x:t>
  </x:si>
  <x:si>
    <x:t xml:space="preserve">10</x:t>
  </x:si>
  <x:si>
    <x:t xml:space="preserve">Offsite Events</x:t>
  </x:si>
  <x:si>
    <x:t xml:space="preserve">We are pusuring new and less visited offsite program partners</x:t>
  </x:si>
  <x:si>
    <x:t xml:space="preserve">0</x:t>
  </x:si>
  <x:si>
    <x:t xml:space="preserve">1</x:t>
  </x:si>
  <x:si>
    <x:t xml:space="preserve">((This year-last year)/last YEAR)*100</x:t>
  </x:si>
  <x:si>
    <x:t xml:space="preserve">Last year's attendance</x:t>
  </x:si>
  <x:si>
    <x:t xml:space="preserve">Development</x:t>
  </x:si>
  <x:si>
    <x:t xml:space="preserve">Ashley</x:t>
  </x:si>
  <x:si>
    <x:t xml:space="preserve">Community Memberships</x:t>
  </x:si>
  <x:si>
    <x:t xml:space="preserve">We're growing community memberships.</x:t>
  </x:si>
  <x:si>
    <x:t xml:space="preserve">New/Renewed Memberships </x:t>
  </x:si>
  <x:si>
    <x:t xml:space="preserve">We are attracting new members. </x:t>
  </x:si>
  <x:si>
    <x:t xml:space="preserve">Renewal Rate - Last 90 Days</x:t>
  </x:si>
  <x:si>
    <x:t xml:space="preserve">Our members find value in continued membership. </x:t>
  </x:si>
  <x:si>
    <x:t xml:space="preserve">Gallery</x:t>
  </x:si>
  <x:si>
    <x:t xml:space="preserve">Dawn</x:t>
  </x:si>
  <x:si>
    <x:t xml:space="preserve">Field Trips/Group Visitors</x:t>
  </x:si>
  <x:si>
    <x:t xml:space="preserve">Our gallery is attracting schools and groups. </x:t>
  </x:si>
  <x:si>
    <x:t xml:space="preserve">Gift Shop Sales</x:t>
  </x:si>
  <x:si>
    <x:t xml:space="preserve">Our gift shop offers the visitors a piece of NDGTS</x:t>
  </x:si>
  <x:si>
    <x:t xml:space="preserve">Website</x:t>
  </x:si>
  <x:si>
    <x:t xml:space="preserve">We're following through on priorities.</x:t>
  </x:si>
  <x:si>
    <x:t xml:space="preserve">"Gateway to Science" Search</x:t>
  </x:si>
  <x:si>
    <x:t xml:space="preserve">Our mission is known in the community.</x:t>
  </x:si>
  <x:si>
    <x:t xml:space="preserve">GSC</x:t>
  </x:si>
  <x:si>
    <x:t xml:space="preserve">Site Health</x:t>
  </x:si>
  <x:si>
    <x:t xml:space="preserve">An important marketing tool is working.</x:t>
  </x:si>
  <x:si>
    <x:t xml:space="preserve">ahrefs</x:t>
  </x:si>
  <x:si>
    <x:t xml:space="preserve">Monthly Visitors (1m trailing)</x:t>
  </x:si>
  <x:si>
    <x:t xml:space="preserve">Our site is useful, compelling, and engaging to visitors. </x:t>
  </x:si>
  <x:si>
    <x:t xml:space="preserve">GA</x:t>
  </x:si>
  <x:si>
    <x:t xml:space="preserve">Monthly Pageviews (1m trailing)</x:t>
  </x:si>
  <x:si>
    <x:t xml:space="preserve">News Article Posts (Last 30 Days)</x:t>
  </x:si>
  <x:si>
    <x:t xml:space="preserve">What we share is reaching audiences.</x:t>
  </x:si>
  <x:si>
    <x:t xml:space="preserve">Average Engagement Time</x:t>
  </x:si>
  <x:si>
    <x:t xml:space="preserve">Lawyerist Page Engagement</x:t>
  </x:si>
  <x:si>
    <x:t xml:space="preserve">Users are engaging with products through product pages. </x:t>
  </x:si>
  <x:si>
    <x:t xml:space="preserve">Google Tag Manager</x:t>
  </x:si>
  <x:si>
    <x:t xml:space="preserve">?</x:t>
  </x:si>
  <x:si>
    <x:t xml:space="preserve">Social + Email</x:t>
  </x:si>
  <x:si>
    <x:t xml:space="preserve">Julia</x:t>
  </x:si>
  <x:si>
    <x:t xml:space="preserve">Instagram Impressions/Reach</x:t>
  </x:si>
  <x:si>
    <x:t xml:space="preserve">Our Instagram is relevant and useful. </x:t>
  </x:si>
  <x:si>
    <x:t xml:space="preserve">Facebook</x:t>
  </x:si>
  <x:si>
    <x:t xml:space="preserve">Facebook Post Views</x:t>
  </x:si>
  <x:si>
    <x:t xml:space="preserve">Our Facebook is relevant and useful. </x:t>
  </x:si>
  <x:si>
    <x:t xml:space="preserve">Email Subscribers</x:t>
  </x:si>
  <x:si>
    <x:t xml:space="preserve">Our email list is healthy and growing.</x:t>
  </x:si>
  <x:si>
    <x:t xml:space="preserve">MailChimp</x:t>
  </x:si>
  <x:si>
    <x:t xml:space="preserve">Email open rate (excluding donor)</x:t>
  </x:si>
  <x:si>
    <x:t xml:space="preserve">Our emails have content people engage with. </x:t>
  </x:si>
  <x:si>
    <x:t xml:space="preserve">-</x:t>
  </x:si>
</x:sst>
</file>

<file path=xl/styles.xml><?xml version="1.0" encoding="utf-8"?>
<x:styleSheet xmlns:x="http://schemas.openxmlformats.org/spreadsheetml/2006/main">
  <x:numFmts count="3">
    <x:numFmt numFmtId="164" formatCode="M/d/yyyy"/>
    <x:numFmt numFmtId="165" formatCode="yyyy-mm-dd"/>
    <x:numFmt numFmtId="166" formatCode="0.##"/>
  </x:numFmts>
  <x:fonts count="10"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color theme="1"/>
      <x:name val="Carlito"/>
    </x:font>
    <x:font>
      <x:color theme="1"/>
      <x:name val="Carlito"/>
    </x:font>
    <x:font>
      <x:sz val="11"/>
      <x:color theme="1"/>
      <x:name val="Carlito"/>
    </x:font>
    <x:font>
      <x:b/>
      <x:color rgb="FFFFFF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color theme="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lightGray"/>
    </x:fill>
    <x:fill>
      <x:patternFill patternType="solid">
        <x:fgColor rgb="FF003C71"/>
      </x:patternFill>
    </x:fill>
    <x:fill>
      <x:patternFill patternType="solid">
        <x:fgColor theme="0"/>
      </x:patternFill>
    </x:fill>
    <x:fill>
      <x:patternFill patternType="solid">
        <x:fgColor rgb="FFEFEFEF"/>
      </x:patternFill>
    </x:fill>
    <x:fill>
      <x:patternFill patternType="solid">
        <x:fgColor rgb="FF2423AD"/>
      </x:patternFill>
    </x:fill>
    <x:fill>
      <x:patternFill patternType="solid">
        <x:fgColor theme="4"/>
      </x:patternFill>
    </x:fill>
    <x:fill>
      <x:patternFill patternType="solid">
        <x:fgColor rgb="FFD9E2F3"/>
      </x:patternFill>
    </x:fill>
    <x:fill>
      <x:patternFill patternType="solid">
        <x:fgColor rgb="FFC1E4F5"/>
      </x:patternFill>
    </x:fill>
    <x:fill>
      <x:patternFill patternType="solid">
        <x:fgColor rgb="FFEEF4F9"/>
      </x:patternFill>
    </x:fill>
  </x:fills>
  <x:borders count="1">
    <x:border/>
  </x:borders>
  <x:cellStyleXfs count="1">
    <x:xf numFmtId="0" fontId="0" fillId="0" borderId="0" applyFont="1" applyAlignment="1"/>
  </x:cellStyleXfs>
  <x:cellXfs count="8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wrapText="1"/>
    </x:xf>
    <x:xf numFmtId="164" fontId="2" fillId="3" borderId="0" xfId="0" applyNumberFormat="1" applyFont="1" applyFill="1" applyAlignment="1">
      <x:alignment horizontal="center" vertical="bottom"/>
    </x:xf>
    <x:xf numFmtId="0" fontId="3" fillId="3" borderId="0" xfId="0" applyFont="1" applyFill="1" applyAlignment="1">
      <x:alignment horizontal="center"/>
    </x:xf>
    <x:xf numFmtId="0" fontId="2" fillId="3" borderId="0" xfId="0" applyFont="1" applyFill="1" applyAlignment="1">
      <x:alignment horizontal="center" vertical="bottom"/>
    </x:xf>
    <x:xf numFmtId="0" fontId="4" fillId="0" borderId="0" xfId="0" applyFont="1" applyAlignment="1">
      <x:alignment vertical="bottom"/>
    </x:xf>
    <x:xf numFmtId="0" fontId="3" fillId="0" borderId="0" xfId="0" applyFont="1"/>
    <x:xf numFmtId="0" fontId="4" fillId="4" borderId="0" xfId="0" applyFont="1" applyFill="1" applyAlignment="1">
      <x:alignment vertical="bottom"/>
    </x:xf>
    <x:xf numFmtId="165" fontId="4" fillId="0" borderId="0" xfId="0" applyNumberFormat="1" applyFont="1"/>
    <x:xf numFmtId="164" fontId="1" fillId="5" borderId="0" xfId="0" applyNumberFormat="1" applyFont="1" applyFill="1" applyAlignment="1">
      <x:alignment horizontal="center" vertical="center"/>
    </x:xf>
    <x:xf numFmtId="0" fontId="5" fillId="5" borderId="0" xfId="0" applyFont="1" applyFill="1" applyAlignment="1">
      <x:alignment horizontal="center" vertical="center"/>
    </x:xf>
    <x:xf numFmtId="0" fontId="1" fillId="5" borderId="0" xfId="0" applyFont="1" applyFill="1" applyAlignment="1">
      <x:alignment horizontal="center" vertical="center"/>
    </x:xf>
    <x:xf numFmtId="0" fontId="3" fillId="0" borderId="0" xfId="0" applyFont="1" applyAlignment="1"/>
    <x:xf numFmtId="0" fontId="1" fillId="5" borderId="0" xfId="0" applyFont="1" applyFill="1" applyAlignment="1">
      <x:alignment horizontal="center" vertical="center"/>
    </x:xf>
    <x:xf numFmtId="164" fontId="4" fillId="6" borderId="0" xfId="0" applyNumberFormat="1" applyFont="1" applyFill="1" applyAlignment="1">
      <x:alignment horizontal="center"/>
    </x:xf>
    <x:xf numFmtId="164" fontId="4" fillId="6" borderId="0" xfId="0" applyNumberFormat="1" applyFont="1" applyFill="1" applyAlignment="1">
      <x:alignment horizontal="center" wrapText="1"/>
    </x:xf>
    <x:xf numFmtId="0" fontId="3" fillId="6" borderId="0" xfId="0" applyFont="1" applyFill="1" applyAlignment="1">
      <x:alignment wrapText="1"/>
    </x:xf>
    <x:xf numFmtId="0" fontId="3" fillId="6" borderId="0" xfId="0" applyFont="1" applyFill="1"/>
    <x:xf numFmtId="2" fontId="6" fillId="0" borderId="0" xfId="0" applyNumberFormat="1" applyFont="1" applyAlignment="1">
      <x:alignment vertical="bottom" wrapText="1"/>
    </x:xf>
    <x:xf numFmtId="0" fontId="6" fillId="0" borderId="0" xfId="0" applyFont="1" applyAlignment="1">
      <x:alignment vertical="bottom" wrapText="1"/>
    </x:xf>
    <x:xf numFmtId="0" fontId="3" fillId="4" borderId="0" xfId="0" applyFont="1" applyFill="1" applyAlignment="1">
      <x:alignment wrapText="1"/>
    </x:xf>
    <x:xf numFmtId="166" fontId="3" fillId="4" borderId="0" xfId="0" applyNumberFormat="1" applyFont="1" applyFill="1" applyAlignment="1">
      <x:alignment wrapText="1"/>
    </x:xf>
    <x:xf numFmtId="0" fontId="7" fillId="7" borderId="0" xfId="0" applyFont="1" applyFill="1" applyAlignment="1">
      <x:alignment horizontal="center" vertical="bottom" wrapText="1"/>
    </x:xf>
    <x:xf numFmtId="164" fontId="4" fillId="8" borderId="0" xfId="0" applyNumberFormat="1" applyFont="1" applyFill="1" applyAlignment="1">
      <x:alignment horizontal="center" wrapText="1"/>
    </x:xf>
    <x:xf numFmtId="0" fontId="3" fillId="8" borderId="0" xfId="0" applyFont="1" applyFill="1" applyAlignment="1">
      <x:alignment wrapText="1"/>
    </x:xf>
    <x:xf numFmtId="0" fontId="6" fillId="0" borderId="0" xfId="0" applyFont="1" applyAlignment="1">
      <x:alignment vertical="bottom" wrapText="1"/>
    </x:xf>
    <x:xf numFmtId="164" fontId="4" fillId="3" borderId="0" xfId="0" applyNumberFormat="1" applyFont="1" applyFill="1" applyAlignment="1">
      <x:alignment horizontal="center" wrapText="1"/>
    </x:xf>
    <x:xf numFmtId="0" fontId="3" fillId="3" borderId="0" xfId="0" applyFont="1" applyFill="1" applyAlignment="1">
      <x:alignment wrapText="1"/>
    </x:xf>
    <x:xf numFmtId="2" fontId="6" fillId="0" borderId="0" xfId="0" applyNumberFormat="1" applyFont="1" applyAlignment="1">
      <x:alignment vertical="bottom" wrapText="1"/>
    </x:xf>
    <x:xf numFmtId="166" fontId="3" fillId="4" borderId="0" xfId="0" applyNumberFormat="1" applyFont="1" applyFill="1" applyAlignment="1">
      <x:alignment wrapText="1"/>
    </x:xf>
    <x:xf numFmtId="0" fontId="3" fillId="4" borderId="0" xfId="0" applyFont="1" applyFill="1"/>
    <x:xf numFmtId="164" fontId="4" fillId="8" borderId="0" xfId="0" applyNumberFormat="1" applyFont="1" applyFill="1" applyAlignment="1">
      <x:alignment horizontal="center"/>
    </x:xf>
    <x:xf numFmtId="0" fontId="3" fillId="8" borderId="0" xfId="0" applyFont="1" applyFill="1"/>
    <x:xf numFmtId="0" fontId="1" fillId="5" borderId="0" xfId="0" applyFont="1" applyFill="1" applyAlignment="1">
      <x:alignment horizontal="center" vertical="center" wrapText="1"/>
    </x:xf>
    <x:xf numFmtId="164" fontId="4" fillId="3" borderId="0" xfId="0" applyNumberFormat="1" applyFont="1" applyFill="1" applyAlignment="1">
      <x:alignment horizontal="center"/>
    </x:xf>
    <x:xf numFmtId="0" fontId="3" fillId="3" borderId="0" xfId="0" applyFont="1" applyFill="1"/>
    <x:xf numFmtId="0" fontId="8" fillId="0" borderId="0" xfId="0" applyFont="1"/>
    <x:xf numFmtId="164" fontId="4" fillId="0" borderId="0" xfId="0" applyNumberFormat="1" applyFont="1" applyAlignment="1">
      <x:alignment horizontal="center"/>
    </x:xf>
    <x:xf numFmtId="0" fontId="1" fillId="2" borderId="0" xfId="0" applyFont="1" applyFill="1" applyAlignment="1">
      <x:alignment horizontal="center"/>
    </x:xf>
    <x:xf numFmtId="165" fontId="3" fillId="0" borderId="0" xfId="0" applyNumberFormat="1" applyFont="1"/>
    <x:xf numFmtId="0" fontId="9" fillId="2" borderId="0" xfId="0" applyFont="1" applyFill="1" applyAlignment="1">
      <x:alignment wrapText="1"/>
    </x:xf>
    <x:xf numFmtId="0" fontId="2" fillId="9" borderId="0" xfId="0" applyFont="1" applyFill="1"/>
    <x:xf numFmtId="164" fontId="3" fillId="0" borderId="0" xfId="0" applyNumberFormat="1" applyFont="1" applyAlignment="1">
      <x:alignment horizontal="center"/>
    </x:xf>
    <x:xf numFmtId="0" fontId="3" fillId="3" borderId="0" xfId="0" applyFont="1" applyFill="1" applyAlignment="1"/>
    <x:xf numFmtId="0" fontId="3" fillId="8" borderId="0" xfId="0" applyFont="1" applyFill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wrapText="1"/>
    </x:xf>
    <x:xf numFmtId="164" fontId="2" fillId="3" borderId="0" xfId="0" applyNumberFormat="1" applyFont="1" applyFill="1" applyBorder="1" applyAlignment="1">
      <x:alignment horizontal="center" vertical="bottom"/>
    </x:xf>
    <x:xf numFmtId="0" fontId="3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bottom"/>
    </x:xf>
    <x:xf numFmtId="0" fontId="4" fillId="0" borderId="0" xfId="0" applyNumberFormat="1" applyFont="1" applyFill="1" applyBorder="1" applyAlignment="1">
      <x:alignment vertical="bottom"/>
    </x:xf>
    <x:xf numFmtId="0" fontId="3" fillId="0" borderId="0" xfId="0" applyNumberFormat="1" applyFont="1" applyFill="1" applyBorder="1"/>
    <x:xf numFmtId="0" fontId="4" fillId="4" borderId="0" xfId="0" applyNumberFormat="1" applyFont="1" applyFill="1" applyBorder="1" applyAlignment="1">
      <x:alignment vertical="bottom"/>
    </x:xf>
    <x:xf numFmtId="165" fontId="4" fillId="0" borderId="0" xfId="0" applyNumberFormat="1" applyFont="1" applyFill="1" applyBorder="1"/>
    <x:xf numFmtId="164" fontId="1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164" fontId="4" fillId="6" borderId="0" xfId="0" applyNumberFormat="1" applyFont="1" applyFill="1" applyBorder="1" applyAlignment="1">
      <x:alignment horizontal="center"/>
    </x:xf>
    <x:xf numFmtId="164" fontId="4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2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3" fillId="4" borderId="0" xfId="0" applyNumberFormat="1" applyFont="1" applyFill="1" applyBorder="1" applyAlignment="1">
      <x:alignment wrapText="1"/>
    </x:xf>
    <x:xf numFmtId="166" fontId="3" fillId="4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vertical="bottom" wrapText="1"/>
    </x:xf>
    <x:xf numFmtId="164" fontId="4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wrapText="1"/>
    </x:xf>
    <x:xf numFmtId="164" fontId="4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164" fontId="4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 wrapText="1"/>
    </x:xf>
    <x:xf numFmtId="164" fontId="4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164" fontId="4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165" fontId="3" fillId="0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/>
    <x:xf numFmtId="164" fontId="3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vertical="bottom" wrapText="0"/>
    </x:xf>
    <x:xf numFmtId="0" fontId="7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font>
        <x:color rgb="FF808080"/>
      </x:font>
      <x:fill>
        <x:patternFill>
          <x:bgColor rgb="FFF2F2F2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fffbfcdb04efa" /><Relationship Type="http://schemas.openxmlformats.org/officeDocument/2006/relationships/theme" Target="/xl/theme/theme1.xml" Id="R0fa10a1335b743d6" /><Relationship Type="http://schemas.openxmlformats.org/officeDocument/2006/relationships/sheetMetadata" Target="/xl/metadata1.xml" Id="R7c15fad6684c4e2d" /><Relationship Type="http://schemas.openxmlformats.org/officeDocument/2006/relationships/sharedStrings" Target="/xl/sharedStrings.xml" Id="R82c86095c7a64d50" /><Relationship Type="http://schemas.openxmlformats.org/officeDocument/2006/relationships/worksheet" Target="/xl/worksheets/sheet1.xml" Id="Rb70c3fdb53e14677" /><Relationship Type="http://schemas.openxmlformats.org/officeDocument/2006/relationships/worksheet" Target="/xl/worksheets/sheet2.xml" Id="R77653a9a5ba849a5" /><Relationship Type="http://schemas.openxmlformats.org/officeDocument/2006/relationships/worksheet" Target="/xl/worksheets/sheet3.xml" Id="R0511cdb9d6b34e8f" /><Relationship Type="http://schemas.openxmlformats.org/officeDocument/2006/relationships/worksheet" Target="/xl/worksheets/sheet4.xml" Id="Rf6db51a5118644bd" /><Relationship Type="http://schemas.openxmlformats.org/officeDocument/2006/relationships/worksheet" Target="/xl/worksheets/sheet5.xml" Id="Racd6768aeca3411a" /><Relationship Type="http://schemas.openxmlformats.org/officeDocument/2006/relationships/worksheet" Target="/xl/worksheets/sheet6.xml" Id="R781d4434b5384d79" /><Relationship Type="http://schemas.openxmlformats.org/officeDocument/2006/relationships/worksheet" Target="/xl/worksheets/sheet7.xml" Id="R907f2d502fe1476d" /><Relationship Type="http://schemas.openxmlformats.org/officeDocument/2006/relationships/worksheet" Target="/xl/worksheets/sheet8.xml" Id="R71c1b77f66b246fc" /><Relationship Type="http://schemas.openxmlformats.org/officeDocument/2006/relationships/worksheet" Target="/xl/worksheets/sheet9.xml" Id="R4ac22f31736e421d" /><Relationship Type="http://schemas.openxmlformats.org/officeDocument/2006/relationships/worksheet" Target="/xl/worksheets/sheet10.xml" Id="R5758970ee3d34559" /><Relationship Type="http://schemas.openxmlformats.org/officeDocument/2006/relationships/worksheet" Target="/xl/worksheets/sheet11.xml" Id="Rb4a180f2c6fd4df4" /></Relationships>
</file>

<file path=xl/tables/table1.xml><?xml version="1.0" encoding="utf-8"?>
<x:table xmlns:x="http://schemas.openxmlformats.org/spreadsheetml/2006/main" id="1" name="Table_1" displayName="Table_1" ref="A1:L13">
  <x:tableColumns count="12">
    <x:tableColumn id="1" name="index_key"/>
    <x:tableColumn id="2" name="component_key"/>
    <x:tableColumn id="3" name="component_type"/>
    <x:tableColumn id="4" name="weight"/>
    <x:tableColumn id="5" name="direction"/>
    <x:tableColumn id="6" name="scoring_method"/>
    <x:tableColumn id="7" name="minimum"/>
    <x:tableColumn id="8" name="maximum"/>
    <x:tableColumn id="9" name="cap_at_100"/>
    <x:tableColumn id="10" name="active"/>
    <x:tableColumn id="11" name="sort_order"/>
    <x:tableColumn id="12" name="notes"/>
  </x:tableColumns>
  <x:tableStyleInfo name="Metric_Calculation_Value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2a7be5571654199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2.5" customWidth="1"/>
    <x:col min="2" max="2" width="16" customWidth="1"/>
    <x:col min="3" max="3" width="25.3799991607666" customWidth="1"/>
    <x:col min="4" max="4" width="14" customWidth="1"/>
    <x:col min="5" max="5" width="19.75" customWidth="1"/>
    <x:col min="6" max="6" width="10.75" customWidth="1"/>
    <x:col min="7" max="7" width="18" customWidth="1"/>
    <x:col min="8" max="8" width="10.630000114440918" customWidth="1"/>
    <x:col min="9" max="9" width="59.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s="6" t="s">
        <x:v>9</x:v>
      </x:c>
      <x:c r="B2" s="6" t="s">
        <x:v>10</x:v>
      </x:c>
      <x:c r="C2" s="6" t="s">
        <x:v>11</x:v>
      </x:c>
      <x:c r="D2" s="6" t="s">
        <x:v>12</x:v>
      </x:c>
      <x:c r="E2" s="6" t="s">
        <x:v>13</x:v>
      </x:c>
      <x:c r="F2" s="6">
        <x:v>1.0</x:v>
      </x:c>
      <x:c r="G2" s="6" t="s">
        <x:v>14</x:v>
      </x:c>
      <x:c r="H2" s="6">
        <x:v>85.0</x:v>
      </x:c>
      <x:c r="I2" s="6" t="s">
        <x:v>15</x:v>
      </x:c>
    </x:row>
    <x:row r="3">
      <x:c r="A3" s="6" t="s">
        <x:v>16</x:v>
      </x:c>
      <x:c r="B3" s="6" t="s">
        <x:v>10</x:v>
      </x:c>
      <x:c r="C3" s="6" t="s">
        <x:v>17</x:v>
      </x:c>
      <x:c r="D3" s="6" t="s">
        <x:v>12</x:v>
      </x:c>
      <x:c r="E3" s="6" t="s">
        <x:v>18</x:v>
      </x:c>
      <x:c r="F3" s="6">
        <x:v>2.0</x:v>
      </x:c>
      <x:c r="G3" s="6" t="s">
        <x:v>14</x:v>
      </x:c>
      <x:c r="H3" s="6">
        <x:v>88.0</x:v>
      </x:c>
      <x:c r="I3" s="6" t="s">
        <x:v>19</x:v>
      </x:c>
    </x:row>
    <x:row r="4">
      <x:c r="A4" s="6" t="s">
        <x:v>20</x:v>
      </x:c>
      <x:c r="B4" s="6" t="s">
        <x:v>10</x:v>
      </x:c>
      <x:c r="C4" s="6" t="s">
        <x:v>21</x:v>
      </x:c>
      <x:c r="D4" s="6" t="s">
        <x:v>12</x:v>
      </x:c>
      <x:c r="E4" s="6" t="s">
        <x:v>22</x:v>
      </x:c>
      <x:c r="F4" s="6">
        <x:v>3.0</x:v>
      </x:c>
      <x:c r="G4" s="6" t="s">
        <x:v>14</x:v>
      </x:c>
      <x:c r="H4" s="6">
        <x:v>82.0</x:v>
      </x:c>
      <x:c r="I4" s="6" t="s">
        <x:v>23</x:v>
      </x:c>
    </x:row>
    <x:row r="5">
      <x:c r="A5" s="6" t="s">
        <x:v>24</x:v>
      </x:c>
      <x:c r="B5" s="6" t="s">
        <x:v>10</x:v>
      </x:c>
      <x:c r="C5" s="6" t="s">
        <x:v>25</x:v>
      </x:c>
      <x:c r="D5" s="6" t="s">
        <x:v>12</x:v>
      </x:c>
      <x:c r="E5" s="6" t="s">
        <x:v>26</x:v>
      </x:c>
      <x:c r="F5" s="6">
        <x:v>4.0</x:v>
      </x:c>
      <x:c r="G5" s="6" t="s">
        <x:v>14</x:v>
      </x:c>
      <x:c r="H5" s="6">
        <x:v>80.0</x:v>
      </x:c>
      <x:c r="I5" s="6" t="s">
        <x:v>27</x:v>
      </x:c>
    </x:row>
    <x:row r="6">
      <x:c r="A6" s="6" t="s">
        <x:v>28</x:v>
      </x:c>
      <x:c r="B6" s="6" t="s">
        <x:v>29</x:v>
      </x:c>
      <x:c r="C6" s="6" t="s">
        <x:v>30</x:v>
      </x:c>
      <x:c r="D6" s="6" t="s">
        <x:v>31</x:v>
      </x:c>
      <x:c r="E6" s="6" t="s">
        <x:v>32</x:v>
      </x:c>
      <x:c r="F6" s="6">
        <x:v>1.0</x:v>
      </x:c>
      <x:c r="G6" s="6" t="s">
        <x:v>14</x:v>
      </x:c>
      <x:c r="H6" s="12">
        <x:v>31.0</x:v>
      </x:c>
      <x:c r="I6" s="6" t="s">
        <x:v>33</x:v>
      </x:c>
    </x:row>
    <x:row r="7">
      <x:c r="A7" s="6" t="s">
        <x:v>34</x:v>
      </x:c>
      <x:c r="B7" s="6" t="s">
        <x:v>29</x:v>
      </x:c>
      <x:c r="C7" s="6" t="s">
        <x:v>35</x:v>
      </x:c>
      <x:c r="D7" s="6" t="s">
        <x:v>36</x:v>
      </x:c>
      <x:c r="E7" s="6" t="s">
        <x:v>37</x:v>
      </x:c>
      <x:c r="F7" s="6">
        <x:v>2.0</x:v>
      </x:c>
      <x:c r="G7" s="6" t="s">
        <x:v>14</x:v>
      </x:c>
      <x:c r="H7" s="6">
        <x:v>101000.0</x:v>
      </x:c>
      <x:c r="I7" s="6" t="s">
        <x:v>38</x:v>
      </x:c>
    </x:row>
    <x:row r="8">
      <x:c r="A8" s="6" t="s">
        <x:v>39</x:v>
      </x:c>
      <x:c r="B8" s="6" t="s">
        <x:v>29</x:v>
      </x:c>
      <x:c r="C8" s="6" t="s">
        <x:v>40</x:v>
      </x:c>
      <x:c r="D8" s="6" t="s">
        <x:v>31</x:v>
      </x:c>
      <x:c r="E8" s="6" t="s">
        <x:v>41</x:v>
      </x:c>
      <x:c r="F8" s="6">
        <x:v>3.0</x:v>
      </x:c>
      <x:c r="G8" s="6" t="s">
        <x:v>14</x:v>
      </x:c>
      <x:c r="H8" s="12">
        <x:v>50.0</x:v>
      </x:c>
      <x:c r="I8" s="6" t="s">
        <x:v>42</x:v>
      </x:c>
    </x:row>
    <x:row r="9">
      <x:c r="A9" s="6" t="s">
        <x:v>43</x:v>
      </x:c>
      <x:c r="B9" s="6" t="s">
        <x:v>44</x:v>
      </x:c>
      <x:c r="C9" s="6" t="s">
        <x:v>45</x:v>
      </x:c>
      <x:c r="D9" s="6" t="s">
        <x:v>31</x:v>
      </x:c>
      <x:c r="E9" s="6" t="s">
        <x:v>46</x:v>
      </x:c>
      <x:c r="F9" s="6">
        <x:v>1.0</x:v>
      </x:c>
      <x:c r="G9" s="6" t="s">
        <x:v>14</x:v>
      </x:c>
      <x:c r="H9" s="12">
        <x:v>70.0</x:v>
      </x:c>
      <x:c r="I9" s="6" t="s">
        <x:v>47</x:v>
      </x:c>
    </x:row>
    <x:row r="10">
      <x:c r="A10" s="6" t="s">
        <x:v>48</x:v>
      </x:c>
      <x:c r="B10" s="6" t="s">
        <x:v>44</x:v>
      </x:c>
      <x:c r="C10" s="6" t="s">
        <x:v>49</x:v>
      </x:c>
      <x:c r="D10" s="6" t="s">
        <x:v>31</x:v>
      </x:c>
      <x:c r="E10" s="6" t="s">
        <x:v>18</x:v>
      </x:c>
      <x:c r="F10" s="6">
        <x:v>2.0</x:v>
      </x:c>
      <x:c r="G10" s="6" t="s">
        <x:v>14</x:v>
      </x:c>
      <x:c r="H10" s="12">
        <x:v>85.0</x:v>
      </x:c>
      <x:c r="I10" s="6" t="s">
        <x:v>50</x:v>
      </x:c>
    </x:row>
    <x:row r="11">
      <x:c r="A11" s="6" t="s">
        <x:v>51</x:v>
      </x:c>
      <x:c r="B11" s="6" t="s">
        <x:v>44</x:v>
      </x:c>
      <x:c r="C11" s="6" t="s">
        <x:v>52</x:v>
      </x:c>
      <x:c r="D11" s="6" t="s">
        <x:v>36</x:v>
      </x:c>
      <x:c r="E11" s="6" t="s">
        <x:v>53</x:v>
      </x:c>
      <x:c r="F11" s="6">
        <x:v>3.0</x:v>
      </x:c>
      <x:c r="G11" s="6" t="s">
        <x:v>14</x:v>
      </x:c>
      <x:c r="H11" s="12">
        <x:v>15.0</x:v>
      </x:c>
      <x:c r="I11" s="6" t="s">
        <x:v>54</x:v>
      </x:c>
    </x:row>
    <x:row r="12">
      <x:c r="A12" s="6" t="s">
        <x:v>55</x:v>
      </x:c>
      <x:c r="B12" s="6" t="s">
        <x:v>56</x:v>
      </x:c>
      <x:c r="C12" s="6" t="s">
        <x:v>57</x:v>
      </x:c>
      <x:c r="D12" s="6" t="s">
        <x:v>31</x:v>
      </x:c>
      <x:c r="E12" s="6" t="s">
        <x:v>58</x:v>
      </x:c>
      <x:c r="F12" s="6">
        <x:v>1.0</x:v>
      </x:c>
      <x:c r="G12" s="6" t="s">
        <x:v>14</x:v>
      </x:c>
      <x:c r="H12" s="12">
        <x:v>65.0</x:v>
      </x:c>
      <x:c r="I12" s="6" t="s">
        <x:v>59</x:v>
      </x:c>
    </x:row>
    <x:row r="13">
      <x:c r="A13" s="6" t="s">
        <x:v>60</x:v>
      </x:c>
      <x:c r="B13" s="6" t="s">
        <x:v>56</x:v>
      </x:c>
      <x:c r="C13" s="6" t="s">
        <x:v>61</x:v>
      </x:c>
      <x:c r="D13" s="6" t="s">
        <x:v>31</x:v>
      </x:c>
      <x:c r="E13" s="6" t="s">
        <x:v>62</x:v>
      </x:c>
      <x:c r="F13" s="6">
        <x:v>2.0</x:v>
      </x:c>
      <x:c r="G13" s="6" t="s">
        <x:v>14</x:v>
      </x:c>
      <x:c r="H13" s="6">
        <x:v>18.0</x:v>
      </x:c>
      <x:c r="I13" s="6" t="s">
        <x:v>63</x:v>
      </x:c>
    </x:row>
    <x:row r="14">
      <x:c r="A14" s="6" t="s">
        <x:v>64</x:v>
      </x:c>
      <x:c r="B14" s="6" t="s">
        <x:v>56</x:v>
      </x:c>
      <x:c r="C14" s="6" t="s">
        <x:v>65</x:v>
      </x:c>
      <x:c r="D14" s="6" t="s">
        <x:v>36</x:v>
      </x:c>
      <x:c r="E14" s="6" t="s">
        <x:v>66</x:v>
      </x:c>
      <x:c r="F14" s="6">
        <x:v>3.0</x:v>
      </x:c>
      <x:c r="G14" s="6" t="s">
        <x:v>14</x:v>
      </x:c>
      <x:c r="H14" s="6">
        <x:v>12.0</x:v>
      </x:c>
      <x:c r="I14" s="6" t="s">
        <x:v>67</x:v>
      </x:c>
    </x:row>
    <x:row r="15">
      <x:c r="B15" s="6"/>
      <x:c r="D15" s="6"/>
      <x:c r="G15" s="6"/>
    </x:row>
    <x:row r="16">
      <x:c r="B16" s="6"/>
      <x:c r="D16" s="6"/>
      <x:c r="G16" s="6"/>
    </x:row>
    <x:row r="17">
      <x:c r="B17" s="6"/>
      <x:c r="D17" s="6"/>
      <x:c r="G17" s="6"/>
    </x:row>
    <x:row r="18">
      <x:c r="B18" s="6"/>
      <x:c r="D18" s="6"/>
      <x:c r="G18" s="6"/>
    </x:row>
    <x:row r="19">
      <x:c r="B19" s="6"/>
      <x:c r="D19" s="6"/>
      <x:c r="G19" s="6"/>
    </x:row>
    <x:row r="20">
      <x:c r="B20" s="6"/>
      <x:c r="D20" s="6"/>
      <x:c r="G20" s="6"/>
    </x:row>
    <x:row r="21" ht="15.75" customHeight="1">
      <x:c r="B21" s="6"/>
      <x:c r="D21" s="6"/>
      <x:c r="G21" s="6"/>
    </x:row>
    <x:row r="22" ht="15.75" customHeight="1">
      <x:c r="B22" s="6"/>
      <x:c r="D22" s="6"/>
      <x:c r="G22" s="6"/>
    </x:row>
    <x:row r="23" ht="15.75" customHeight="1">
      <x:c r="B23" s="6"/>
      <x:c r="D23" s="6"/>
      <x:c r="G23" s="6"/>
    </x:row>
    <x:row r="24" ht="15.75" customHeight="1">
      <x:c r="B24" s="6"/>
      <x:c r="D24" s="6"/>
      <x:c r="G24" s="6"/>
    </x:row>
    <x:row r="25" ht="15.75" customHeight="1">
      <x:c r="B25" s="6"/>
      <x:c r="D25" s="6"/>
      <x:c r="G25" s="6"/>
    </x:row>
    <x:row r="26" ht="15.75" customHeight="1">
      <x:c r="B26" s="6"/>
      <x:c r="D26" s="6"/>
      <x:c r="G26" s="6"/>
    </x:row>
    <x:row r="27" ht="15.75" customHeight="1">
      <x:c r="B27" s="6"/>
      <x:c r="D27" s="6"/>
      <x:c r="G27" s="6"/>
    </x:row>
    <x:row r="28" ht="15.75" customHeight="1">
      <x:c r="B28" s="6"/>
      <x:c r="D28" s="6"/>
      <x:c r="G28" s="6"/>
    </x:row>
    <x:row r="29" ht="15.75" customHeight="1">
      <x:c r="B29" s="6"/>
      <x:c r="D29" s="6"/>
      <x:c r="G29" s="6"/>
    </x:row>
    <x:row r="30" ht="15.75" customHeight="1">
      <x:c r="B30" s="6"/>
      <x:c r="D30" s="6"/>
      <x:c r="G30" s="6"/>
    </x:row>
    <x:row r="31" ht="15.75" customHeight="1">
      <x:c r="B31" s="6"/>
      <x:c r="D31" s="6"/>
      <x:c r="G31" s="6"/>
    </x:row>
    <x:row r="32" ht="15.75" customHeight="1">
      <x:c r="B32" s="6"/>
      <x:c r="D32" s="6"/>
      <x:c r="G32" s="6"/>
    </x:row>
    <x:row r="33" ht="15.75" customHeight="1">
      <x:c r="B33" s="6"/>
      <x:c r="D33" s="6"/>
      <x:c r="G33" s="6"/>
    </x:row>
    <x:row r="34" ht="15.75" customHeight="1">
      <x:c r="B34" s="6"/>
      <x:c r="D34" s="6"/>
      <x:c r="G34" s="6"/>
    </x:row>
    <x:row r="35" ht="15.75" customHeight="1">
      <x:c r="B35" s="6"/>
      <x:c r="D35" s="6"/>
      <x:c r="G35" s="6"/>
    </x:row>
    <x:row r="36" ht="15.75" customHeight="1">
      <x:c r="B36" s="6"/>
      <x:c r="D36" s="6"/>
      <x:c r="G36" s="6"/>
    </x:row>
    <x:row r="37" ht="15.75" customHeight="1">
      <x:c r="B37" s="6"/>
      <x:c r="D37" s="6"/>
      <x:c r="G37" s="6"/>
    </x:row>
    <x:row r="38" ht="15.75" customHeight="1">
      <x:c r="B38" s="6"/>
      <x:c r="D38" s="6"/>
      <x:c r="G38" s="6"/>
    </x:row>
    <x:row r="39" ht="15.75" customHeight="1">
      <x:c r="B39" s="6"/>
      <x:c r="D39" s="6"/>
      <x:c r="G39" s="6"/>
    </x:row>
    <x:row r="40" ht="15.75" customHeight="1">
      <x:c r="B40" s="6"/>
      <x:c r="D40" s="6"/>
      <x:c r="G40" s="6"/>
    </x:row>
    <x:row r="41" ht="15.75" customHeight="1">
      <x:c r="B41" s="6"/>
      <x:c r="D41" s="6"/>
      <x:c r="G41" s="6"/>
    </x:row>
    <x:row r="42" ht="15.75" customHeight="1">
      <x:c r="B42" s="6"/>
      <x:c r="D42" s="6"/>
      <x:c r="G42" s="6"/>
    </x:row>
    <x:row r="43" ht="15.75" customHeight="1">
      <x:c r="B43" s="6"/>
      <x:c r="D43" s="6"/>
      <x:c r="G43" s="6"/>
    </x:row>
    <x:row r="44" ht="15.75" customHeight="1">
      <x:c r="B44" s="6"/>
      <x:c r="D44" s="6"/>
      <x:c r="G44" s="6"/>
    </x:row>
    <x:row r="45" ht="15.75" customHeight="1">
      <x:c r="B45" s="6"/>
      <x:c r="D45" s="6"/>
      <x:c r="G45" s="6"/>
    </x:row>
    <x:row r="46" ht="15.75" customHeight="1">
      <x:c r="B46" s="6"/>
      <x:c r="D46" s="6"/>
      <x:c r="G46" s="6"/>
    </x:row>
    <x:row r="47" ht="15.75" customHeight="1">
      <x:c r="B47" s="6"/>
      <x:c r="D47" s="6"/>
      <x:c r="G47" s="6"/>
    </x:row>
    <x:row r="48" ht="15.75" customHeight="1">
      <x:c r="B48" s="6"/>
      <x:c r="D48" s="6"/>
      <x:c r="G48" s="6"/>
    </x:row>
    <x:row r="49" ht="15.75" customHeight="1">
      <x:c r="B49" s="6"/>
      <x:c r="D49" s="6"/>
      <x:c r="G49" s="6"/>
    </x:row>
    <x:row r="50" ht="15.75" customHeight="1">
      <x:c r="B50" s="6"/>
      <x:c r="D50" s="6"/>
      <x:c r="G50" s="6"/>
    </x:row>
    <x:row r="51" ht="15.75" customHeight="1">
      <x:c r="B51" s="6"/>
      <x:c r="D51" s="6"/>
      <x:c r="G51" s="6"/>
    </x:row>
    <x:row r="52" ht="15.75" customHeight="1">
      <x:c r="B52" s="6"/>
      <x:c r="D52" s="6"/>
      <x:c r="G52" s="6"/>
    </x:row>
    <x:row r="53" ht="15.75" customHeight="1">
      <x:c r="B53" s="6"/>
      <x:c r="D53" s="6"/>
      <x:c r="G53" s="6"/>
    </x:row>
    <x:row r="54" ht="15.75" customHeight="1">
      <x:c r="B54" s="6"/>
      <x:c r="D54" s="6"/>
      <x:c r="G54" s="6"/>
    </x:row>
    <x:row r="55" ht="15.75" customHeight="1">
      <x:c r="B55" s="6"/>
      <x:c r="D55" s="6"/>
      <x:c r="G55" s="6"/>
    </x:row>
    <x:row r="56" ht="15.75" customHeight="1">
      <x:c r="B56" s="6"/>
      <x:c r="D56" s="6"/>
      <x:c r="G56" s="6"/>
    </x:row>
    <x:row r="57" ht="15.75" customHeight="1">
      <x:c r="B57" s="6"/>
      <x:c r="D57" s="6"/>
      <x:c r="G57" s="6"/>
    </x:row>
    <x:row r="58" ht="15.75" customHeight="1">
      <x:c r="B58" s="6"/>
      <x:c r="D58" s="6"/>
      <x:c r="G58" s="6"/>
    </x:row>
    <x:row r="59" ht="15.75" customHeight="1">
      <x:c r="B59" s="6"/>
      <x:c r="D59" s="6"/>
      <x:c r="G59" s="6"/>
    </x:row>
    <x:row r="60" ht="15.75" customHeight="1">
      <x:c r="B60" s="6"/>
      <x:c r="D60" s="6"/>
      <x:c r="G60" s="6"/>
    </x:row>
    <x:row r="61" ht="15.75" customHeight="1">
      <x:c r="B61" s="6"/>
      <x:c r="D61" s="6"/>
      <x:c r="G61" s="6"/>
    </x:row>
    <x:row r="62" ht="15.75" customHeight="1">
      <x:c r="B62" s="6"/>
      <x:c r="D62" s="6"/>
      <x:c r="G62" s="6"/>
    </x:row>
    <x:row r="63" ht="15.75" customHeight="1">
      <x:c r="B63" s="6"/>
      <x:c r="D63" s="6"/>
      <x:c r="G63" s="6"/>
    </x:row>
    <x:row r="64" ht="15.75" customHeight="1">
      <x:c r="B64" s="6"/>
      <x:c r="D64" s="6"/>
      <x:c r="G64" s="6"/>
    </x:row>
    <x:row r="65" ht="15.75" customHeight="1">
      <x:c r="B65" s="6"/>
      <x:c r="D65" s="6"/>
      <x:c r="G65" s="6"/>
    </x:row>
    <x:row r="66" ht="15.75" customHeight="1">
      <x:c r="B66" s="6"/>
      <x:c r="D66" s="6"/>
      <x:c r="G66" s="6"/>
    </x:row>
    <x:row r="67" ht="15.75" customHeight="1">
      <x:c r="B67" s="6"/>
      <x:c r="D67" s="6"/>
      <x:c r="G67" s="6"/>
    </x:row>
    <x:row r="68" ht="15.75" customHeight="1">
      <x:c r="B68" s="6"/>
      <x:c r="D68" s="6"/>
      <x:c r="G68" s="6"/>
    </x:row>
    <x:row r="69" ht="15.75" customHeight="1">
      <x:c r="B69" s="6"/>
      <x:c r="D69" s="6"/>
      <x:c r="G69" s="6"/>
    </x:row>
    <x:row r="70" ht="15.75" customHeight="1">
      <x:c r="B70" s="6"/>
      <x:c r="D70" s="6"/>
      <x:c r="G70" s="6"/>
    </x:row>
    <x:row r="71" ht="15.75" customHeight="1">
      <x:c r="B71" s="6"/>
      <x:c r="D71" s="6"/>
      <x:c r="G71" s="6"/>
    </x:row>
    <x:row r="72" ht="15.75" customHeight="1">
      <x:c r="B72" s="6"/>
      <x:c r="D72" s="6"/>
      <x:c r="G72" s="6"/>
    </x:row>
    <x:row r="73" ht="15.75" customHeight="1">
      <x:c r="B73" s="6"/>
      <x:c r="D73" s="6"/>
      <x:c r="G73" s="6"/>
    </x:row>
    <x:row r="74" ht="15.75" customHeight="1">
      <x:c r="B74" s="6"/>
      <x:c r="D74" s="6"/>
      <x:c r="G74" s="6"/>
    </x:row>
    <x:row r="75" ht="15.75" customHeight="1">
      <x:c r="B75" s="6"/>
      <x:c r="D75" s="6"/>
      <x:c r="G75" s="6"/>
    </x:row>
    <x:row r="76" ht="15.75" customHeight="1">
      <x:c r="B76" s="6"/>
      <x:c r="D76" s="6"/>
      <x:c r="G76" s="6"/>
    </x:row>
    <x:row r="77" ht="15.75" customHeight="1">
      <x:c r="B77" s="6"/>
      <x:c r="D77" s="6"/>
      <x:c r="G77" s="6"/>
    </x:row>
    <x:row r="78" ht="15.75" customHeight="1">
      <x:c r="B78" s="6"/>
      <x:c r="D78" s="6"/>
      <x:c r="G78" s="6"/>
    </x:row>
    <x:row r="79" ht="15.75" customHeight="1">
      <x:c r="B79" s="6"/>
      <x:c r="D79" s="6"/>
      <x:c r="G79" s="6"/>
    </x:row>
    <x:row r="80" ht="15.75" customHeight="1">
      <x:c r="B80" s="6"/>
      <x:c r="D80" s="6"/>
      <x:c r="G80" s="6"/>
    </x:row>
    <x:row r="81" ht="15.75" customHeight="1">
      <x:c r="B81" s="6"/>
      <x:c r="D81" s="6"/>
      <x:c r="G81" s="6"/>
    </x:row>
    <x:row r="82" ht="15.75" customHeight="1">
      <x:c r="B82" s="6"/>
      <x:c r="D82" s="6"/>
      <x:c r="G82" s="6"/>
    </x:row>
    <x:row r="83" ht="15.75" customHeight="1">
      <x:c r="B83" s="6"/>
      <x:c r="D83" s="6"/>
      <x:c r="G83" s="6"/>
    </x:row>
    <x:row r="84" ht="15.75" customHeight="1">
      <x:c r="B84" s="6"/>
      <x:c r="D84" s="6"/>
      <x:c r="G84" s="6"/>
    </x:row>
    <x:row r="85" ht="15.75" customHeight="1">
      <x:c r="B85" s="6"/>
      <x:c r="D85" s="6"/>
      <x:c r="G85" s="6"/>
    </x:row>
    <x:row r="86" ht="15.75" customHeight="1">
      <x:c r="B86" s="6"/>
      <x:c r="D86" s="6"/>
      <x:c r="G86" s="6"/>
    </x:row>
    <x:row r="87" ht="15.75" customHeight="1">
      <x:c r="B87" s="6"/>
      <x:c r="D87" s="6"/>
      <x:c r="G87" s="6"/>
    </x:row>
    <x:row r="88" ht="15.75" customHeight="1">
      <x:c r="B88" s="6"/>
      <x:c r="D88" s="6"/>
      <x:c r="G88" s="6"/>
    </x:row>
    <x:row r="89" ht="15.75" customHeight="1">
      <x:c r="B89" s="6"/>
      <x:c r="D89" s="6"/>
      <x:c r="G89" s="6"/>
    </x:row>
    <x:row r="90" ht="15.75" customHeight="1">
      <x:c r="B90" s="6"/>
      <x:c r="D90" s="6"/>
      <x:c r="G90" s="6"/>
    </x:row>
    <x:row r="91" ht="15.75" customHeight="1">
      <x:c r="B91" s="6"/>
      <x:c r="D91" s="6"/>
      <x:c r="G91" s="6"/>
    </x:row>
    <x:row r="92" ht="15.75" customHeight="1">
      <x:c r="B92" s="6"/>
      <x:c r="D92" s="6"/>
      <x:c r="G92" s="6"/>
    </x:row>
    <x:row r="93" ht="15.75" customHeight="1">
      <x:c r="B93" s="6"/>
      <x:c r="D93" s="6"/>
      <x:c r="G93" s="6"/>
    </x:row>
    <x:row r="94" ht="15.75" customHeight="1">
      <x:c r="B94" s="6"/>
      <x:c r="D94" s="6"/>
      <x:c r="G94" s="6"/>
    </x:row>
    <x:row r="95" ht="15.75" customHeight="1">
      <x:c r="B95" s="6"/>
      <x:c r="D95" s="6"/>
      <x:c r="G95" s="6"/>
    </x:row>
    <x:row r="96" ht="15.75" customHeight="1">
      <x:c r="B96" s="6"/>
      <x:c r="D96" s="6"/>
      <x:c r="G96" s="6"/>
    </x:row>
    <x:row r="97" ht="15.75" customHeight="1">
      <x:c r="B97" s="6"/>
      <x:c r="D97" s="6"/>
      <x:c r="G97" s="6"/>
    </x:row>
    <x:row r="98" ht="15.75" customHeight="1">
      <x:c r="B98" s="6"/>
      <x:c r="D98" s="6"/>
      <x:c r="G98" s="6"/>
    </x:row>
    <x:row r="99" ht="15.75" customHeight="1">
      <x:c r="B99" s="6"/>
      <x:c r="D99" s="6"/>
      <x:c r="G99" s="6"/>
    </x:row>
    <x:row r="100" ht="15.75" customHeight="1">
      <x:c r="B100" s="6"/>
      <x:c r="D100" s="6"/>
      <x:c r="G100" s="6"/>
    </x:row>
    <x:row r="101" ht="15.75" customHeight="1">
      <x:c r="B101" s="6"/>
      <x:c r="D101" s="6"/>
      <x:c r="G101" s="6"/>
    </x:row>
    <x:row r="102" ht="15.75" customHeight="1">
      <x:c r="B102" s="6"/>
      <x:c r="D102" s="6"/>
      <x:c r="G102" s="6"/>
    </x:row>
    <x:row r="103" ht="15.75" customHeight="1">
      <x:c r="B103" s="6"/>
      <x:c r="D103" s="6"/>
      <x:c r="G103" s="6"/>
    </x:row>
    <x:row r="104" ht="15.75" customHeight="1">
      <x:c r="B104" s="6"/>
      <x:c r="D104" s="6"/>
      <x:c r="G104" s="6"/>
    </x:row>
    <x:row r="105" ht="15.75" customHeight="1">
      <x:c r="B105" s="6"/>
      <x:c r="D105" s="6"/>
      <x:c r="G105" s="6"/>
    </x:row>
    <x:row r="106" ht="15.75" customHeight="1">
      <x:c r="B106" s="6"/>
      <x:c r="D106" s="6"/>
      <x:c r="G106" s="6"/>
    </x:row>
    <x:row r="107" ht="15.75" customHeight="1">
      <x:c r="B107" s="6"/>
      <x:c r="D107" s="6"/>
      <x:c r="G107" s="6"/>
    </x:row>
    <x:row r="108" ht="15.75" customHeight="1">
      <x:c r="B108" s="6"/>
      <x:c r="D108" s="6"/>
      <x:c r="G108" s="6"/>
    </x:row>
    <x:row r="109" ht="15.75" customHeight="1">
      <x:c r="B109" s="6"/>
      <x:c r="D109" s="6"/>
      <x:c r="G109" s="6"/>
    </x:row>
    <x:row r="110" ht="15.75" customHeight="1">
      <x:c r="B110" s="6"/>
      <x:c r="D110" s="6"/>
      <x:c r="G110" s="6"/>
    </x:row>
    <x:row r="111" ht="15.75" customHeight="1">
      <x:c r="B111" s="6"/>
      <x:c r="D111" s="6"/>
      <x:c r="G111" s="6"/>
    </x:row>
    <x:row r="112" ht="15.75" customHeight="1">
      <x:c r="B112" s="6"/>
      <x:c r="D112" s="6"/>
      <x:c r="G112" s="6"/>
    </x:row>
    <x:row r="113" ht="15.75" customHeight="1">
      <x:c r="B113" s="6"/>
      <x:c r="D113" s="6"/>
      <x:c r="G113" s="6"/>
    </x:row>
    <x:row r="114" ht="15.75" customHeight="1">
      <x:c r="B114" s="6"/>
      <x:c r="D114" s="6"/>
      <x:c r="G114" s="6"/>
    </x:row>
    <x:row r="115" ht="15.75" customHeight="1">
      <x:c r="B115" s="6"/>
      <x:c r="D115" s="6"/>
      <x:c r="G115" s="6"/>
    </x:row>
    <x:row r="116" ht="15.75" customHeight="1">
      <x:c r="B116" s="6"/>
      <x:c r="D116" s="6"/>
      <x:c r="G116" s="6"/>
    </x:row>
    <x:row r="117" ht="15.75" customHeight="1">
      <x:c r="B117" s="6"/>
      <x:c r="D117" s="6"/>
      <x:c r="G117" s="6"/>
    </x:row>
    <x:row r="118" ht="15.75" customHeight="1">
      <x:c r="B118" s="6"/>
      <x:c r="D118" s="6"/>
      <x:c r="G118" s="6"/>
    </x:row>
    <x:row r="119" ht="15.75" customHeight="1">
      <x:c r="B119" s="6"/>
      <x:c r="D119" s="6"/>
      <x:c r="G119" s="6"/>
    </x:row>
    <x:row r="120" ht="15.75" customHeight="1">
      <x:c r="B120" s="6"/>
      <x:c r="D120" s="6"/>
      <x:c r="G120" s="6"/>
    </x:row>
    <x:row r="121" ht="15.75" customHeight="1">
      <x:c r="B121" s="6"/>
      <x:c r="D121" s="6"/>
      <x:c r="G121" s="6"/>
    </x:row>
    <x:row r="122" ht="15.75" customHeight="1">
      <x:c r="B122" s="6"/>
      <x:c r="D122" s="6"/>
      <x:c r="G122" s="6"/>
    </x:row>
    <x:row r="123" ht="15.75" customHeight="1">
      <x:c r="B123" s="6"/>
      <x:c r="D123" s="6"/>
      <x:c r="G123" s="6"/>
    </x:row>
    <x:row r="124" ht="15.75" customHeight="1">
      <x:c r="B124" s="6"/>
      <x:c r="D124" s="6"/>
      <x:c r="G124" s="6"/>
    </x:row>
    <x:row r="125" ht="15.75" customHeight="1">
      <x:c r="B125" s="6"/>
      <x:c r="D125" s="6"/>
      <x:c r="G125" s="6"/>
    </x:row>
    <x:row r="126" ht="15.75" customHeight="1">
      <x:c r="B126" s="6"/>
      <x:c r="D126" s="6"/>
      <x:c r="G126" s="6"/>
    </x:row>
    <x:row r="127" ht="15.75" customHeight="1">
      <x:c r="B127" s="6"/>
      <x:c r="D127" s="6"/>
      <x:c r="G127" s="6"/>
    </x:row>
    <x:row r="128" ht="15.75" customHeight="1">
      <x:c r="B128" s="6"/>
      <x:c r="D128" s="6"/>
      <x:c r="G128" s="6"/>
    </x:row>
    <x:row r="129" ht="15.75" customHeight="1">
      <x:c r="B129" s="6"/>
      <x:c r="D129" s="6"/>
      <x:c r="G129" s="6"/>
    </x:row>
    <x:row r="130" ht="15.75" customHeight="1">
      <x:c r="B130" s="6"/>
      <x:c r="D130" s="6"/>
      <x:c r="G130" s="6"/>
    </x:row>
    <x:row r="131" ht="15.75" customHeight="1">
      <x:c r="B131" s="6"/>
      <x:c r="D131" s="6"/>
      <x:c r="G131" s="6"/>
    </x:row>
    <x:row r="132" ht="15.75" customHeight="1">
      <x:c r="B132" s="6"/>
      <x:c r="D132" s="6"/>
      <x:c r="G132" s="6"/>
    </x:row>
    <x:row r="133" ht="15.75" customHeight="1">
      <x:c r="B133" s="6"/>
      <x:c r="D133" s="6"/>
      <x:c r="G133" s="6"/>
    </x:row>
    <x:row r="134" ht="15.75" customHeight="1">
      <x:c r="B134" s="6"/>
      <x:c r="D134" s="6"/>
      <x:c r="G134" s="6"/>
    </x:row>
    <x:row r="135" ht="15.75" customHeight="1">
      <x:c r="B135" s="6"/>
      <x:c r="D135" s="6"/>
      <x:c r="G135" s="6"/>
    </x:row>
    <x:row r="136" ht="15.75" customHeight="1">
      <x:c r="B136" s="6"/>
      <x:c r="D136" s="6"/>
      <x:c r="G136" s="6"/>
    </x:row>
    <x:row r="137" ht="15.75" customHeight="1">
      <x:c r="B137" s="6"/>
      <x:c r="D137" s="6"/>
      <x:c r="G137" s="6"/>
    </x:row>
    <x:row r="138" ht="15.75" customHeight="1">
      <x:c r="B138" s="6"/>
      <x:c r="D138" s="6"/>
      <x:c r="G138" s="6"/>
    </x:row>
    <x:row r="139" ht="15.75" customHeight="1">
      <x:c r="B139" s="6"/>
      <x:c r="D139" s="6"/>
      <x:c r="G139" s="6"/>
    </x:row>
    <x:row r="140" ht="15.75" customHeight="1">
      <x:c r="B140" s="6"/>
      <x:c r="D140" s="6"/>
      <x:c r="G140" s="6"/>
    </x:row>
    <x:row r="141" ht="15.75" customHeight="1">
      <x:c r="B141" s="6"/>
      <x:c r="D141" s="6"/>
      <x:c r="G141" s="6"/>
    </x:row>
    <x:row r="142" ht="15.75" customHeight="1">
      <x:c r="B142" s="6"/>
      <x:c r="D142" s="6"/>
      <x:c r="G142" s="6"/>
    </x:row>
    <x:row r="143" ht="15.75" customHeight="1">
      <x:c r="B143" s="6"/>
      <x:c r="D143" s="6"/>
      <x:c r="G143" s="6"/>
    </x:row>
    <x:row r="144" ht="15.75" customHeight="1">
      <x:c r="B144" s="6"/>
      <x:c r="D144" s="6"/>
      <x:c r="G144" s="6"/>
    </x:row>
    <x:row r="145" ht="15.75" customHeight="1">
      <x:c r="B145" s="6"/>
      <x:c r="D145" s="6"/>
      <x:c r="G145" s="6"/>
    </x:row>
    <x:row r="146" ht="15.75" customHeight="1">
      <x:c r="B146" s="6"/>
      <x:c r="D146" s="6"/>
      <x:c r="G146" s="6"/>
    </x:row>
    <x:row r="147" ht="15.75" customHeight="1">
      <x:c r="B147" s="6"/>
      <x:c r="D147" s="6"/>
      <x:c r="G147" s="6"/>
    </x:row>
    <x:row r="148" ht="15.75" customHeight="1">
      <x:c r="B148" s="6"/>
      <x:c r="D148" s="6"/>
      <x:c r="G148" s="6"/>
    </x:row>
    <x:row r="149" ht="15.75" customHeight="1">
      <x:c r="B149" s="6"/>
      <x:c r="D149" s="6"/>
      <x:c r="G149" s="6"/>
    </x:row>
    <x:row r="150" ht="15.75" customHeight="1">
      <x:c r="B150" s="6"/>
      <x:c r="D150" s="6"/>
      <x:c r="G150" s="6"/>
    </x:row>
    <x:row r="151" ht="15.75" customHeight="1">
      <x:c r="B151" s="6"/>
      <x:c r="D151" s="6"/>
      <x:c r="G151" s="6"/>
    </x:row>
    <x:row r="152" ht="15.75" customHeight="1">
      <x:c r="B152" s="6"/>
      <x:c r="D152" s="6"/>
      <x:c r="G152" s="6"/>
    </x:row>
    <x:row r="153" ht="15.75" customHeight="1">
      <x:c r="B153" s="6"/>
      <x:c r="D153" s="6"/>
      <x:c r="G153" s="6"/>
    </x:row>
    <x:row r="154" ht="15.75" customHeight="1">
      <x:c r="B154" s="6"/>
      <x:c r="D154" s="6"/>
      <x:c r="G154" s="6"/>
    </x:row>
    <x:row r="155" ht="15.75" customHeight="1">
      <x:c r="B155" s="6"/>
      <x:c r="D155" s="6"/>
      <x:c r="G155" s="6"/>
    </x:row>
    <x:row r="156" ht="15.75" customHeight="1">
      <x:c r="B156" s="6"/>
      <x:c r="D156" s="6"/>
      <x:c r="G156" s="6"/>
    </x:row>
    <x:row r="157" ht="15.75" customHeight="1">
      <x:c r="B157" s="6"/>
      <x:c r="D157" s="6"/>
      <x:c r="G157" s="6"/>
    </x:row>
    <x:row r="158" ht="15.75" customHeight="1">
      <x:c r="B158" s="6"/>
      <x:c r="D158" s="6"/>
      <x:c r="G158" s="6"/>
    </x:row>
    <x:row r="159" ht="15.75" customHeight="1">
      <x:c r="B159" s="6"/>
      <x:c r="D159" s="6"/>
      <x:c r="G159" s="6"/>
    </x:row>
    <x:row r="160" ht="15.75" customHeight="1">
      <x:c r="B160" s="6"/>
      <x:c r="D160" s="6"/>
      <x:c r="G160" s="6"/>
    </x:row>
    <x:row r="161" ht="15.75" customHeight="1">
      <x:c r="B161" s="6"/>
      <x:c r="D161" s="6"/>
      <x:c r="G161" s="6"/>
    </x:row>
    <x:row r="162" ht="15.75" customHeight="1">
      <x:c r="B162" s="6"/>
      <x:c r="D162" s="6"/>
      <x:c r="G162" s="6"/>
    </x:row>
    <x:row r="163" ht="15.75" customHeight="1">
      <x:c r="B163" s="6"/>
      <x:c r="D163" s="6"/>
      <x:c r="G163" s="6"/>
    </x:row>
    <x:row r="164" ht="15.75" customHeight="1">
      <x:c r="B164" s="6"/>
      <x:c r="D164" s="6"/>
      <x:c r="G164" s="6"/>
    </x:row>
    <x:row r="165" ht="15.75" customHeight="1">
      <x:c r="B165" s="6"/>
      <x:c r="D165" s="6"/>
      <x:c r="G165" s="6"/>
    </x:row>
    <x:row r="166" ht="15.75" customHeight="1">
      <x:c r="B166" s="6"/>
      <x:c r="D166" s="6"/>
      <x:c r="G166" s="6"/>
    </x:row>
    <x:row r="167" ht="15.75" customHeight="1">
      <x:c r="B167" s="6"/>
      <x:c r="D167" s="6"/>
      <x:c r="G167" s="6"/>
    </x:row>
    <x:row r="168" ht="15.75" customHeight="1">
      <x:c r="B168" s="6"/>
      <x:c r="D168" s="6"/>
      <x:c r="G168" s="6"/>
    </x:row>
    <x:row r="169" ht="15.75" customHeight="1">
      <x:c r="B169" s="6"/>
      <x:c r="D169" s="6"/>
      <x:c r="G169" s="6"/>
    </x:row>
    <x:row r="170" ht="15.75" customHeight="1">
      <x:c r="B170" s="6"/>
      <x:c r="D170" s="6"/>
      <x:c r="G170" s="6"/>
    </x:row>
    <x:row r="171" ht="15.75" customHeight="1">
      <x:c r="B171" s="6"/>
      <x:c r="D171" s="6"/>
      <x:c r="G171" s="6"/>
    </x:row>
    <x:row r="172" ht="15.75" customHeight="1">
      <x:c r="B172" s="6"/>
      <x:c r="D172" s="6"/>
      <x:c r="G172" s="6"/>
    </x:row>
    <x:row r="173" ht="15.75" customHeight="1">
      <x:c r="B173" s="6"/>
      <x:c r="D173" s="6"/>
      <x:c r="G173" s="6"/>
    </x:row>
    <x:row r="174" ht="15.75" customHeight="1">
      <x:c r="B174" s="6"/>
      <x:c r="D174" s="6"/>
      <x:c r="G174" s="6"/>
    </x:row>
    <x:row r="175" ht="15.75" customHeight="1">
      <x:c r="B175" s="6"/>
      <x:c r="D175" s="6"/>
      <x:c r="G175" s="6"/>
    </x:row>
    <x:row r="176" ht="15.75" customHeight="1">
      <x:c r="B176" s="6"/>
      <x:c r="D176" s="6"/>
      <x:c r="G176" s="6"/>
    </x:row>
    <x:row r="177" ht="15.75" customHeight="1">
      <x:c r="B177" s="6"/>
      <x:c r="D177" s="6"/>
      <x:c r="G177" s="6"/>
    </x:row>
    <x:row r="178" ht="15.75" customHeight="1">
      <x:c r="B178" s="6"/>
      <x:c r="D178" s="6"/>
      <x:c r="G178" s="6"/>
    </x:row>
    <x:row r="179" ht="15.75" customHeight="1">
      <x:c r="B179" s="6"/>
      <x:c r="D179" s="6"/>
      <x:c r="G179" s="6"/>
    </x:row>
    <x:row r="180" ht="15.75" customHeight="1">
      <x:c r="B180" s="6"/>
      <x:c r="D180" s="6"/>
      <x:c r="G180" s="6"/>
    </x:row>
    <x:row r="181" ht="15.75" customHeight="1">
      <x:c r="B181" s="6"/>
      <x:c r="D181" s="6"/>
      <x:c r="G181" s="6"/>
    </x:row>
    <x:row r="182" ht="15.75" customHeight="1">
      <x:c r="B182" s="6"/>
      <x:c r="D182" s="6"/>
      <x:c r="G182" s="6"/>
    </x:row>
    <x:row r="183" ht="15.75" customHeight="1">
      <x:c r="B183" s="6"/>
      <x:c r="D183" s="6"/>
      <x:c r="G183" s="6"/>
    </x:row>
    <x:row r="184" ht="15.75" customHeight="1">
      <x:c r="B184" s="6"/>
      <x:c r="D184" s="6"/>
      <x:c r="G184" s="6"/>
    </x:row>
    <x:row r="185" ht="15.75" customHeight="1">
      <x:c r="B185" s="6"/>
      <x:c r="D185" s="6"/>
      <x:c r="G185" s="6"/>
    </x:row>
    <x:row r="186" ht="15.75" customHeight="1">
      <x:c r="B186" s="6"/>
      <x:c r="D186" s="6"/>
      <x:c r="G186" s="6"/>
    </x:row>
    <x:row r="187" ht="15.75" customHeight="1">
      <x:c r="B187" s="6"/>
      <x:c r="D187" s="6"/>
      <x:c r="G187" s="6"/>
    </x:row>
    <x:row r="188" ht="15.75" customHeight="1">
      <x:c r="B188" s="6"/>
      <x:c r="D188" s="6"/>
      <x:c r="G188" s="6"/>
    </x:row>
    <x:row r="189" ht="15.75" customHeight="1">
      <x:c r="B189" s="6"/>
      <x:c r="D189" s="6"/>
      <x:c r="G189" s="6"/>
    </x:row>
    <x:row r="190" ht="15.75" customHeight="1">
      <x:c r="B190" s="6"/>
      <x:c r="D190" s="6"/>
      <x:c r="G190" s="6"/>
    </x:row>
    <x:row r="191" ht="15.75" customHeight="1">
      <x:c r="B191" s="6"/>
      <x:c r="D191" s="6"/>
      <x:c r="G191" s="6"/>
    </x:row>
    <x:row r="192" ht="15.75" customHeight="1">
      <x:c r="B192" s="6"/>
      <x:c r="D192" s="6"/>
      <x:c r="G192" s="6"/>
    </x:row>
    <x:row r="193" ht="15.75" customHeight="1">
      <x:c r="B193" s="6"/>
      <x:c r="D193" s="6"/>
      <x:c r="G193" s="6"/>
    </x:row>
    <x:row r="194" ht="15.75" customHeight="1">
      <x:c r="B194" s="6"/>
      <x:c r="D194" s="6"/>
      <x:c r="G194" s="6"/>
    </x:row>
    <x:row r="195" ht="15.75" customHeight="1">
      <x:c r="B195" s="6"/>
      <x:c r="D195" s="6"/>
      <x:c r="G195" s="6"/>
    </x:row>
    <x:row r="196" ht="15.75" customHeight="1">
      <x:c r="B196" s="6"/>
      <x:c r="D196" s="6"/>
      <x:c r="G196" s="6"/>
    </x:row>
    <x:row r="197" ht="15.75" customHeight="1">
      <x:c r="B197" s="6"/>
      <x:c r="D197" s="6"/>
      <x:c r="G197" s="6"/>
    </x:row>
    <x:row r="198" ht="15.75" customHeight="1">
      <x:c r="B198" s="6"/>
      <x:c r="D198" s="6"/>
      <x:c r="G198" s="6"/>
    </x:row>
    <x:row r="199" ht="15.75" customHeight="1">
      <x:c r="B199" s="6"/>
      <x:c r="D199" s="6"/>
      <x:c r="G199" s="6"/>
    </x:row>
    <x:row r="200" ht="15.75" customHeight="1">
      <x:c r="B200" s="6"/>
      <x:c r="D200" s="6"/>
      <x:c r="G200" s="6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B2:B200">
      <x:formula1>"system,mission,financial,sustainability"</x:formula1>
    </x:dataValidation>
    <x:dataValidation type="list" allowBlank="1" sqref="G2:G200">
      <x:formula1>"Y,N"</x:formula1>
    </x:dataValidation>
    <x:dataValidation type="list" allowBlank="1" sqref="D2:D200">
      <x:formula1>"percent,number,score,currency,text"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6" customWidth="1"/>
    <x:col min="2" max="2" width="28" customWidth="1"/>
    <x:col min="3" max="3" width="14" customWidth="1"/>
    <x:col min="4" max="4" width="5.880000114440918" customWidth="1"/>
    <x:col min="5" max="5" width="4.75" customWidth="1"/>
    <x:col min="6" max="6" width="14.130000114440918" customWidth="1"/>
    <x:col min="7" max="7" width="28.1299991607666" customWidth="1"/>
    <x:col min="8" max="8" width="16.25" customWidth="1"/>
    <x:col min="9" max="9" width="23.6299991607666" customWidth="1"/>
    <x:col min="10" max="10" width="8.75" customWidth="1"/>
    <x:col min="11" max="11" width="6.630000114440918" customWidth="1"/>
    <x:col min="12" max="12" width="12.25" customWidth="1"/>
    <x:col min="13" max="13" width="47.880001068115234" customWidth="1"/>
    <x:col min="14" max="26" width="8.630000114440918" customWidth="1"/>
  </x:cols>
  <x:sheetData>
    <x:row r="1">
      <x:c r="A1" s="2" t="s">
        <x:v>68</x:v>
      </x:c>
      <x:c r="B1" s="3" t="s">
        <x:v>0</x:v>
      </x:c>
      <x:c r="C1" s="4" t="s">
        <x:v>69</x:v>
      </x:c>
      <x:c r="D1" s="5"/>
      <x:c r="E1" s="5"/>
      <x:c r="F1" s="7" t="str">
        <x:f>Metric_Dictionary!B1</x:f>
        <x:v>section</x:v>
      </x:c>
      <x:c r="G1" s="7" t="str">
        <x:f>Metric_Dictionary!C1</x:f>
        <x:v>metric_label</x:v>
      </x:c>
      <x:c r="H1" s="7" t="str">
        <x:f>Metric_Dictionary!D1</x:f>
        <x:v>unit</x:v>
      </x:c>
      <x:c r="I1" s="7" t="str">
        <x:f>Metric_Dictionary!E1</x:f>
        <x:v>icon</x:v>
      </x:c>
      <x:c r="J1" s="7" t="str">
        <x:f>Metric_Dictionary!F1</x:f>
        <x:v>sort_order</x:v>
      </x:c>
      <x:c r="K1" s="7" t="str">
        <x:f>Metric_Dictionary!G1</x:f>
        <x:v>show_on_dashboard</x:v>
      </x:c>
      <x:c r="L1" s="7" t="str">
        <x:f>Metric_Dictionary!H1</x:f>
        <x:v>goal</x:v>
      </x:c>
      <x:c r="M1" s="7" t="str">
        <x:f>Metric_Dictionary!I1</x:f>
        <x:v>sub</x:v>
      </x:c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14">
        <x:v>45657.0</x:v>
      </x:c>
      <x:c r="B2" s="17" t="s">
        <x:v>9</x:v>
      </x:c>
      <x:c r="C2" s="17">
        <x:v>72.0</x:v>
      </x:c>
      <x:c r="F2" s="30" t="str">
        <x:f t="array" ref="F2:M2">IF($B2="","",_xlfn.XLOOKUP($B2,Metric_Dictionary!$A:$A,Metric_Dictionary!$B:$I,""))</x:f>
        <x:v>system</x:v>
      </x:c>
      <x:c r="G2" s="30" t="s">
        <x:v>11</x:v>
      </x:c>
      <x:c r="H2" s="30" t="s">
        <x:v>12</x:v>
      </x:c>
      <x:c r="I2" s="30" t="s">
        <x:v>13</x:v>
      </x:c>
      <x:c r="J2" s="30">
        <x:v>1.0</x:v>
      </x:c>
      <x:c r="K2" s="30" t="s">
        <x:v>14</x:v>
      </x:c>
      <x:c r="L2" s="30">
        <x:v>85.0</x:v>
      </x:c>
      <x:c r="M2" s="30" t="s">
        <x:v>15</x:v>
      </x:c>
    </x:row>
    <x:row r="3">
      <x:c r="A3" s="31">
        <x:v>45657.0</x:v>
      </x:c>
      <x:c r="B3" s="32" t="s">
        <x:v>16</x:v>
      </x:c>
      <x:c r="C3" s="32">
        <x:v>80.0</x:v>
      </x:c>
      <x:c r="F3" s="30" t="str">
        <x:f t="array" ref="F3:M3">IF($B3="","",_xlfn.XLOOKUP($B3,Metric_Dictionary!$A:$A,Metric_Dictionary!$B:$I,""))</x:f>
        <x:v>system</x:v>
      </x:c>
      <x:c r="G3" s="30" t="s">
        <x:v>17</x:v>
      </x:c>
      <x:c r="H3" s="30" t="s">
        <x:v>12</x:v>
      </x:c>
      <x:c r="I3" s="30" t="s">
        <x:v>18</x:v>
      </x:c>
      <x:c r="J3" s="30">
        <x:v>2.0</x:v>
      </x:c>
      <x:c r="K3" s="30" t="s">
        <x:v>14</x:v>
      </x:c>
      <x:c r="L3" s="30">
        <x:v>88.0</x:v>
      </x:c>
      <x:c r="M3" s="30" t="s">
        <x:v>19</x:v>
      </x:c>
    </x:row>
    <x:row r="4">
      <x:c r="A4" s="34">
        <x:v>45657.0</x:v>
      </x:c>
      <x:c r="B4" s="35" t="s">
        <x:v>20</x:v>
      </x:c>
      <x:c r="C4" s="35">
        <x:v>71.0</x:v>
      </x:c>
      <x:c r="F4" s="30" t="str">
        <x:f t="array" ref="F4:M4">IF($B4="","",_xlfn.XLOOKUP($B4,Metric_Dictionary!$A:$A,Metric_Dictionary!$B:$I,""))</x:f>
        <x:v>system</x:v>
      </x:c>
      <x:c r="G4" s="30" t="s">
        <x:v>21</x:v>
      </x:c>
      <x:c r="H4" s="30" t="s">
        <x:v>12</x:v>
      </x:c>
      <x:c r="I4" s="30" t="s">
        <x:v>22</x:v>
      </x:c>
      <x:c r="J4" s="30">
        <x:v>3.0</x:v>
      </x:c>
      <x:c r="K4" s="30" t="s">
        <x:v>14</x:v>
      </x:c>
      <x:c r="L4" s="30">
        <x:v>82.0</x:v>
      </x:c>
      <x:c r="M4" s="30" t="s">
        <x:v>23</x:v>
      </x:c>
    </x:row>
    <x:row r="5">
      <x:c r="A5" s="31">
        <x:v>45657.0</x:v>
      </x:c>
      <x:c r="B5" s="32" t="s">
        <x:v>24</x:v>
      </x:c>
      <x:c r="C5" s="32">
        <x:v>65.0</x:v>
      </x:c>
      <x:c r="F5" s="30" t="str">
        <x:f t="array" ref="F5:M5">IF($B5="","",_xlfn.XLOOKUP($B5,Metric_Dictionary!$A:$A,Metric_Dictionary!$B:$I,""))</x:f>
        <x:v>system</x:v>
      </x:c>
      <x:c r="G5" s="30" t="s">
        <x:v>25</x:v>
      </x:c>
      <x:c r="H5" s="30" t="s">
        <x:v>12</x:v>
      </x:c>
      <x:c r="I5" s="30" t="s">
        <x:v>26</x:v>
      </x:c>
      <x:c r="J5" s="30">
        <x:v>4.0</x:v>
      </x:c>
      <x:c r="K5" s="30" t="s">
        <x:v>14</x:v>
      </x:c>
      <x:c r="L5" s="30">
        <x:v>80.0</x:v>
      </x:c>
      <x:c r="M5" s="30" t="s">
        <x:v>27</x:v>
      </x:c>
    </x:row>
    <x:row r="6">
      <x:c r="A6" s="34">
        <x:v>45657.0</x:v>
      </x:c>
      <x:c r="B6" s="35" t="s">
        <x:v>28</x:v>
      </x:c>
      <x:c r="C6" s="35">
        <x:v>13.0</x:v>
      </x:c>
      <x:c r="F6" s="30" t="str">
        <x:f t="array" ref="F6:M6">IF($B6="","",_xlfn.XLOOKUP($B6,Metric_Dictionary!$A:$A,Metric_Dictionary!$B:$I,""))</x:f>
        <x:v>mission</x:v>
      </x:c>
      <x:c r="G6" s="30" t="s">
        <x:v>30</x:v>
      </x:c>
      <x:c r="H6" s="30" t="s">
        <x:v>31</x:v>
      </x:c>
      <x:c r="I6" s="30" t="s">
        <x:v>32</x:v>
      </x:c>
      <x:c r="J6" s="30">
        <x:v>1.0</x:v>
      </x:c>
      <x:c r="K6" s="30" t="s">
        <x:v>14</x:v>
      </x:c>
      <x:c r="L6" s="30">
        <x:v>31.0</x:v>
      </x:c>
      <x:c r="M6" s="30" t="s">
        <x:v>33</x:v>
      </x:c>
    </x:row>
    <x:row r="7">
      <x:c r="A7" s="31">
        <x:v>45657.0</x:v>
      </x:c>
      <x:c r="B7" s="32" t="s">
        <x:v>34</x:v>
      </x:c>
      <x:c r="C7" s="32">
        <x:v>89000.0</x:v>
      </x:c>
      <x:c r="F7" s="30" t="str">
        <x:f t="array" ref="F7:M7">IF($B7="","",_xlfn.XLOOKUP($B7,Metric_Dictionary!$A:$A,Metric_Dictionary!$B:$I,""))</x:f>
        <x:v>mission</x:v>
      </x:c>
      <x:c r="G7" s="30" t="s">
        <x:v>35</x:v>
      </x:c>
      <x:c r="H7" s="30" t="s">
        <x:v>36</x:v>
      </x:c>
      <x:c r="I7" s="30" t="s">
        <x:v>37</x:v>
      </x:c>
      <x:c r="J7" s="30">
        <x:v>2.0</x:v>
      </x:c>
      <x:c r="K7" s="30" t="s">
        <x:v>14</x:v>
      </x:c>
      <x:c r="L7" s="30">
        <x:v>101000.0</x:v>
      </x:c>
      <x:c r="M7" s="30" t="s">
        <x:v>38</x:v>
      </x:c>
    </x:row>
    <x:row r="8">
      <x:c r="A8" s="34">
        <x:v>45657.0</x:v>
      </x:c>
      <x:c r="B8" s="35" t="s">
        <x:v>39</x:v>
      </x:c>
      <x:c r="C8" s="35">
        <x:v>34.0</x:v>
      </x:c>
      <x:c r="F8" s="30" t="str">
        <x:f t="array" ref="F8:M8">IF($B8="","",_xlfn.XLOOKUP($B8,Metric_Dictionary!$A:$A,Metric_Dictionary!$B:$I,""))</x:f>
        <x:v>mission</x:v>
      </x:c>
      <x:c r="G8" s="30" t="s">
        <x:v>40</x:v>
      </x:c>
      <x:c r="H8" s="30" t="s">
        <x:v>31</x:v>
      </x:c>
      <x:c r="I8" s="30" t="s">
        <x:v>41</x:v>
      </x:c>
      <x:c r="J8" s="30">
        <x:v>3.0</x:v>
      </x:c>
      <x:c r="K8" s="30" t="s">
        <x:v>14</x:v>
      </x:c>
      <x:c r="L8" s="30">
        <x:v>50.0</x:v>
      </x:c>
      <x:c r="M8" s="30" t="s">
        <x:v>42</x:v>
      </x:c>
    </x:row>
    <x:row r="9">
      <x:c r="A9" s="31">
        <x:v>45657.0</x:v>
      </x:c>
      <x:c r="B9" s="32" t="s">
        <x:v>43</x:v>
      </x:c>
      <x:c r="C9" s="32">
        <x:v>42.0</x:v>
      </x:c>
      <x:c r="F9" s="30" t="str">
        <x:f t="array" ref="F9:M9">IF($B9="","",_xlfn.XLOOKUP($B9,Metric_Dictionary!$A:$A,Metric_Dictionary!$B:$I,""))</x:f>
        <x:v>financial</x:v>
      </x:c>
      <x:c r="G9" s="30" t="s">
        <x:v>45</x:v>
      </x:c>
      <x:c r="H9" s="30" t="s">
        <x:v>31</x:v>
      </x:c>
      <x:c r="I9" s="30" t="s">
        <x:v>46</x:v>
      </x:c>
      <x:c r="J9" s="30">
        <x:v>1.0</x:v>
      </x:c>
      <x:c r="K9" s="30" t="s">
        <x:v>14</x:v>
      </x:c>
      <x:c r="L9" s="30">
        <x:v>70.0</x:v>
      </x:c>
      <x:c r="M9" s="30" t="s">
        <x:v>47</x:v>
      </x:c>
    </x:row>
    <x:row r="10">
      <x:c r="A10" s="34">
        <x:v>45657.0</x:v>
      </x:c>
      <x:c r="B10" s="35" t="s">
        <x:v>48</x:v>
      </x:c>
      <x:c r="C10" s="35">
        <x:v>72.0</x:v>
      </x:c>
      <x:c r="F10" s="30" t="str">
        <x:f t="array" ref="F10:M10">IF($B10="","",_xlfn.XLOOKUP($B10,Metric_Dictionary!$A:$A,Metric_Dictionary!$B:$I,""))</x:f>
        <x:v>financial</x:v>
      </x:c>
      <x:c r="G10" s="30" t="s">
        <x:v>49</x:v>
      </x:c>
      <x:c r="H10" s="30" t="s">
        <x:v>31</x:v>
      </x:c>
      <x:c r="I10" s="30" t="s">
        <x:v>18</x:v>
      </x:c>
      <x:c r="J10" s="30">
        <x:v>2.0</x:v>
      </x:c>
      <x:c r="K10" s="30" t="s">
        <x:v>14</x:v>
      </x:c>
      <x:c r="L10" s="30">
        <x:v>85.0</x:v>
      </x:c>
      <x:c r="M10" s="30" t="s">
        <x:v>50</x:v>
      </x:c>
    </x:row>
    <x:row r="11">
      <x:c r="A11" s="31">
        <x:v>45657.0</x:v>
      </x:c>
      <x:c r="B11" s="32" t="s">
        <x:v>51</x:v>
      </x:c>
      <x:c r="C11" s="32">
        <x:v>3.0</x:v>
      </x:c>
      <x:c r="F11" s="30" t="str">
        <x:f t="array" ref="F11:M11">IF($B11="","",_xlfn.XLOOKUP($B11,Metric_Dictionary!$A:$A,Metric_Dictionary!$B:$I,""))</x:f>
        <x:v>financial</x:v>
      </x:c>
      <x:c r="G11" s="30" t="s">
        <x:v>52</x:v>
      </x:c>
      <x:c r="H11" s="30" t="s">
        <x:v>36</x:v>
      </x:c>
      <x:c r="I11" s="30" t="s">
        <x:v>53</x:v>
      </x:c>
      <x:c r="J11" s="30">
        <x:v>3.0</x:v>
      </x:c>
      <x:c r="K11" s="30" t="s">
        <x:v>14</x:v>
      </x:c>
      <x:c r="L11" s="30">
        <x:v>15.0</x:v>
      </x:c>
      <x:c r="M11" s="30" t="s">
        <x:v>54</x:v>
      </x:c>
    </x:row>
    <x:row r="12">
      <x:c r="A12" s="34">
        <x:v>45657.0</x:v>
      </x:c>
      <x:c r="B12" s="35" t="s">
        <x:v>55</x:v>
      </x:c>
      <x:c r="C12" s="35">
        <x:v>44.0</x:v>
      </x:c>
      <x:c r="F12" s="30" t="str">
        <x:f t="array" ref="F12:M12">IF($B12="","",_xlfn.XLOOKUP($B12,Metric_Dictionary!$A:$A,Metric_Dictionary!$B:$I,""))</x:f>
        <x:v>sustainability</x:v>
      </x:c>
      <x:c r="G12" s="30" t="s">
        <x:v>57</x:v>
      </x:c>
      <x:c r="H12" s="30" t="s">
        <x:v>31</x:v>
      </x:c>
      <x:c r="I12" s="30" t="s">
        <x:v>58</x:v>
      </x:c>
      <x:c r="J12" s="30">
        <x:v>1.0</x:v>
      </x:c>
      <x:c r="K12" s="30" t="s">
        <x:v>14</x:v>
      </x:c>
      <x:c r="L12" s="30">
        <x:v>65.0</x:v>
      </x:c>
      <x:c r="M12" s="30" t="s">
        <x:v>59</x:v>
      </x:c>
    </x:row>
    <x:row r="13">
      <x:c r="A13" s="31">
        <x:v>45657.0</x:v>
      </x:c>
      <x:c r="B13" s="32" t="s">
        <x:v>60</x:v>
      </x:c>
      <x:c r="C13" s="32">
        <x:v>8.0</x:v>
      </x:c>
      <x:c r="F13" s="30" t="str">
        <x:f t="array" ref="F13:M13">IF($B13="","",_xlfn.XLOOKUP($B13,Metric_Dictionary!$A:$A,Metric_Dictionary!$B:$I,""))</x:f>
        <x:v>sustainability</x:v>
      </x:c>
      <x:c r="G13" s="30" t="s">
        <x:v>61</x:v>
      </x:c>
      <x:c r="H13" s="30" t="s">
        <x:v>31</x:v>
      </x:c>
      <x:c r="I13" s="30" t="s">
        <x:v>62</x:v>
      </x:c>
      <x:c r="J13" s="30">
        <x:v>2.0</x:v>
      </x:c>
      <x:c r="K13" s="30" t="s">
        <x:v>14</x:v>
      </x:c>
      <x:c r="L13" s="30">
        <x:v>18.0</x:v>
      </x:c>
      <x:c r="M13" s="30" t="s">
        <x:v>63</x:v>
      </x:c>
    </x:row>
    <x:row r="14">
      <x:c r="A14" s="34">
        <x:v>45657.0</x:v>
      </x:c>
      <x:c r="B14" s="35" t="s">
        <x:v>64</x:v>
      </x:c>
      <x:c r="C14" s="35">
        <x:v>6.0</x:v>
      </x:c>
      <x:c r="F14" s="30" t="str">
        <x:f>Metric_Dictionary!B1</x:f>
        <x:v>section</x:v>
      </x:c>
      <x:c r="G14" s="30" t="str">
        <x:f>Metric_Dictionary!C1</x:f>
        <x:v>metric_label</x:v>
      </x:c>
      <x:c r="H14" s="30" t="str">
        <x:f>Metric_Dictionary!D1</x:f>
        <x:v>unit</x:v>
      </x:c>
      <x:c r="I14" s="30" t="str">
        <x:f>Metric_Dictionary!E1</x:f>
        <x:v>icon</x:v>
      </x:c>
      <x:c r="J14" s="30" t="str">
        <x:f>Metric_Dictionary!F1</x:f>
        <x:v>sort_order</x:v>
      </x:c>
      <x:c r="K14" s="30" t="str">
        <x:f>Metric_Dictionary!G1</x:f>
        <x:v>show_on_dashboard</x:v>
      </x:c>
      <x:c r="L14" s="30" t="str">
        <x:f>Metric_Dictionary!H1</x:f>
        <x:v>goal</x:v>
      </x:c>
      <x:c r="M14" s="30" t="str">
        <x:f>Metric_Dictionary!I1</x:f>
        <x:v>sub</x:v>
      </x:c>
    </x:row>
    <x:row r="15">
      <x:c r="A15" s="31">
        <x:v>46022.0</x:v>
      </x:c>
      <x:c r="B15" s="32" t="s">
        <x:v>9</x:v>
      </x:c>
      <x:c r="C15" s="32">
        <x:v>78.0</x:v>
      </x:c>
      <x:c r="F15" s="30" t="str">
        <x:f t="array" ref="F15:M15">IF($B15="","",_xlfn.XLOOKUP($B15,Metric_Dictionary!$A:$A,Metric_Dictionary!$B:$I,""))</x:f>
        <x:v>system</x:v>
      </x:c>
      <x:c r="G15" s="30" t="s">
        <x:v>11</x:v>
      </x:c>
      <x:c r="H15" s="30" t="s">
        <x:v>12</x:v>
      </x:c>
      <x:c r="I15" s="30" t="s">
        <x:v>13</x:v>
      </x:c>
      <x:c r="J15" s="30">
        <x:v>1.0</x:v>
      </x:c>
      <x:c r="K15" s="30" t="s">
        <x:v>14</x:v>
      </x:c>
      <x:c r="L15" s="30">
        <x:v>85.0</x:v>
      </x:c>
      <x:c r="M15" s="30" t="s">
        <x:v>15</x:v>
      </x:c>
    </x:row>
    <x:row r="16">
      <x:c r="A16" s="34">
        <x:v>46022.0</x:v>
      </x:c>
      <x:c r="B16" s="35" t="s">
        <x:v>16</x:v>
      </x:c>
      <x:c r="C16" s="35">
        <x:v>84.0</x:v>
      </x:c>
      <x:c r="F16" s="30" t="str">
        <x:f t="array" ref="F16:M16">IF($B16="","",_xlfn.XLOOKUP($B16,Metric_Dictionary!$A:$A,Metric_Dictionary!$B:$I,""))</x:f>
        <x:v>system</x:v>
      </x:c>
      <x:c r="G16" s="30" t="s">
        <x:v>17</x:v>
      </x:c>
      <x:c r="H16" s="30" t="s">
        <x:v>12</x:v>
      </x:c>
      <x:c r="I16" s="30" t="s">
        <x:v>18</x:v>
      </x:c>
      <x:c r="J16" s="30">
        <x:v>2.0</x:v>
      </x:c>
      <x:c r="K16" s="30" t="s">
        <x:v>14</x:v>
      </x:c>
      <x:c r="L16" s="30">
        <x:v>88.0</x:v>
      </x:c>
      <x:c r="M16" s="30" t="s">
        <x:v>19</x:v>
      </x:c>
    </x:row>
    <x:row r="17">
      <x:c r="A17" s="31">
        <x:v>46022.0</x:v>
      </x:c>
      <x:c r="B17" s="32" t="s">
        <x:v>20</x:v>
      </x:c>
      <x:c r="C17" s="32">
        <x:v>78.0</x:v>
      </x:c>
      <x:c r="F17" s="30" t="str">
        <x:f t="array" ref="F17:M17">IF($B17="","",_xlfn.XLOOKUP($B17,Metric_Dictionary!$A:$A,Metric_Dictionary!$B:$I,""))</x:f>
        <x:v>system</x:v>
      </x:c>
      <x:c r="G17" s="30" t="s">
        <x:v>21</x:v>
      </x:c>
      <x:c r="H17" s="30" t="s">
        <x:v>12</x:v>
      </x:c>
      <x:c r="I17" s="30" t="s">
        <x:v>22</x:v>
      </x:c>
      <x:c r="J17" s="30">
        <x:v>3.0</x:v>
      </x:c>
      <x:c r="K17" s="30" t="s">
        <x:v>14</x:v>
      </x:c>
      <x:c r="L17" s="30">
        <x:v>82.0</x:v>
      </x:c>
      <x:c r="M17" s="30" t="s">
        <x:v>23</x:v>
      </x:c>
    </x:row>
    <x:row r="18">
      <x:c r="A18" s="34">
        <x:v>46022.0</x:v>
      </x:c>
      <x:c r="B18" s="35" t="s">
        <x:v>24</x:v>
      </x:c>
      <x:c r="C18" s="35">
        <x:v>72.0</x:v>
      </x:c>
      <x:c r="F18" s="30" t="str">
        <x:f t="array" ref="F18:M18">IF($B18="","",_xlfn.XLOOKUP($B18,Metric_Dictionary!$A:$A,Metric_Dictionary!$B:$I,""))</x:f>
        <x:v>system</x:v>
      </x:c>
      <x:c r="G18" s="30" t="s">
        <x:v>25</x:v>
      </x:c>
      <x:c r="H18" s="30" t="s">
        <x:v>12</x:v>
      </x:c>
      <x:c r="I18" s="30" t="s">
        <x:v>26</x:v>
      </x:c>
      <x:c r="J18" s="30">
        <x:v>4.0</x:v>
      </x:c>
      <x:c r="K18" s="30" t="s">
        <x:v>14</x:v>
      </x:c>
      <x:c r="L18" s="30">
        <x:v>80.0</x:v>
      </x:c>
      <x:c r="M18" s="30" t="s">
        <x:v>27</x:v>
      </x:c>
    </x:row>
    <x:row r="19">
      <x:c r="A19" s="31">
        <x:v>46022.0</x:v>
      </x:c>
      <x:c r="B19" s="32" t="s">
        <x:v>28</x:v>
      </x:c>
      <x:c r="C19" s="32">
        <x:v>15.0</x:v>
      </x:c>
      <x:c r="F19" s="30" t="str">
        <x:f t="array" ref="F19:M19">IF($B19="","",_xlfn.XLOOKUP($B19,Metric_Dictionary!$A:$A,Metric_Dictionary!$B:$I,""))</x:f>
        <x:v>mission</x:v>
      </x:c>
      <x:c r="G19" s="30" t="s">
        <x:v>30</x:v>
      </x:c>
      <x:c r="H19" s="30" t="s">
        <x:v>31</x:v>
      </x:c>
      <x:c r="I19" s="30" t="s">
        <x:v>32</x:v>
      </x:c>
      <x:c r="J19" s="30">
        <x:v>1.0</x:v>
      </x:c>
      <x:c r="K19" s="30" t="s">
        <x:v>14</x:v>
      </x:c>
      <x:c r="L19" s="30">
        <x:v>31.0</x:v>
      </x:c>
      <x:c r="M19" s="30" t="s">
        <x:v>33</x:v>
      </x:c>
    </x:row>
    <x:row r="20">
      <x:c r="A20" s="34">
        <x:v>46022.0</x:v>
      </x:c>
      <x:c r="B20" s="35" t="s">
        <x:v>34</x:v>
      </x:c>
      <x:c r="C20" s="35">
        <x:v>97000.0</x:v>
      </x:c>
      <x:c r="F20" s="30" t="str">
        <x:f t="array" ref="F20:M20">IF($B20="","",_xlfn.XLOOKUP($B20,Metric_Dictionary!$A:$A,Metric_Dictionary!$B:$I,""))</x:f>
        <x:v>mission</x:v>
      </x:c>
      <x:c r="G20" s="30" t="s">
        <x:v>35</x:v>
      </x:c>
      <x:c r="H20" s="30" t="s">
        <x:v>36</x:v>
      </x:c>
      <x:c r="I20" s="30" t="s">
        <x:v>37</x:v>
      </x:c>
      <x:c r="J20" s="30">
        <x:v>2.0</x:v>
      </x:c>
      <x:c r="K20" s="30" t="s">
        <x:v>14</x:v>
      </x:c>
      <x:c r="L20" s="30">
        <x:v>101000.0</x:v>
      </x:c>
      <x:c r="M20" s="30" t="s">
        <x:v>38</x:v>
      </x:c>
    </x:row>
    <x:row r="21" ht="15.75" customHeight="1">
      <x:c r="A21" s="31">
        <x:v>46022.0</x:v>
      </x:c>
      <x:c r="B21" s="32" t="s">
        <x:v>39</x:v>
      </x:c>
      <x:c r="C21" s="32">
        <x:v>37.0</x:v>
      </x:c>
      <x:c r="F21" s="30" t="str">
        <x:f t="array" ref="F21:M21">IF($B21="","",_xlfn.XLOOKUP($B21,Metric_Dictionary!$A:$A,Metric_Dictionary!$B:$I,""))</x:f>
        <x:v>mission</x:v>
      </x:c>
      <x:c r="G21" s="30" t="s">
        <x:v>40</x:v>
      </x:c>
      <x:c r="H21" s="30" t="s">
        <x:v>31</x:v>
      </x:c>
      <x:c r="I21" s="30" t="s">
        <x:v>41</x:v>
      </x:c>
      <x:c r="J21" s="30">
        <x:v>3.0</x:v>
      </x:c>
      <x:c r="K21" s="30" t="s">
        <x:v>14</x:v>
      </x:c>
      <x:c r="L21" s="30">
        <x:v>50.0</x:v>
      </x:c>
      <x:c r="M21" s="30" t="s">
        <x:v>42</x:v>
      </x:c>
    </x:row>
    <x:row r="22" ht="15.75" customHeight="1">
      <x:c r="A22" s="34">
        <x:v>46022.0</x:v>
      </x:c>
      <x:c r="B22" s="35" t="s">
        <x:v>43</x:v>
      </x:c>
      <x:c r="C22" s="35">
        <x:v>44.0</x:v>
      </x:c>
      <x:c r="F22" s="30" t="str">
        <x:f t="array" ref="F22:M22">IF($B22="","",_xlfn.XLOOKUP($B22,Metric_Dictionary!$A:$A,Metric_Dictionary!$B:$I,""))</x:f>
        <x:v>financial</x:v>
      </x:c>
      <x:c r="G22" s="30" t="s">
        <x:v>45</x:v>
      </x:c>
      <x:c r="H22" s="30" t="s">
        <x:v>31</x:v>
      </x:c>
      <x:c r="I22" s="30" t="s">
        <x:v>46</x:v>
      </x:c>
      <x:c r="J22" s="30">
        <x:v>1.0</x:v>
      </x:c>
      <x:c r="K22" s="30" t="s">
        <x:v>14</x:v>
      </x:c>
      <x:c r="L22" s="30">
        <x:v>70.0</x:v>
      </x:c>
      <x:c r="M22" s="30" t="s">
        <x:v>47</x:v>
      </x:c>
    </x:row>
    <x:row r="23" ht="15.75" customHeight="1">
      <x:c r="A23" s="31">
        <x:v>46022.0</x:v>
      </x:c>
      <x:c r="B23" s="32" t="s">
        <x:v>48</x:v>
      </x:c>
      <x:c r="C23" s="32">
        <x:v>76.0</x:v>
      </x:c>
      <x:c r="F23" s="30" t="str">
        <x:f t="array" ref="F23:M23">IF($B23="","",_xlfn.XLOOKUP($B23,Metric_Dictionary!$A:$A,Metric_Dictionary!$B:$I,""))</x:f>
        <x:v>financial</x:v>
      </x:c>
      <x:c r="G23" s="30" t="s">
        <x:v>49</x:v>
      </x:c>
      <x:c r="H23" s="30" t="s">
        <x:v>31</x:v>
      </x:c>
      <x:c r="I23" s="30" t="s">
        <x:v>18</x:v>
      </x:c>
      <x:c r="J23" s="30">
        <x:v>2.0</x:v>
      </x:c>
      <x:c r="K23" s="30" t="s">
        <x:v>14</x:v>
      </x:c>
      <x:c r="L23" s="30">
        <x:v>85.0</x:v>
      </x:c>
      <x:c r="M23" s="30" t="s">
        <x:v>50</x:v>
      </x:c>
    </x:row>
    <x:row r="24" ht="15.75" customHeight="1">
      <x:c r="A24" s="34">
        <x:v>46022.0</x:v>
      </x:c>
      <x:c r="B24" s="35" t="s">
        <x:v>51</x:v>
      </x:c>
      <x:c r="C24" s="35">
        <x:v>4.0</x:v>
      </x:c>
      <x:c r="F24" s="30" t="str">
        <x:f t="array" ref="F24:M24">IF($B24="","",_xlfn.XLOOKUP($B24,Metric_Dictionary!$A:$A,Metric_Dictionary!$B:$I,""))</x:f>
        <x:v>financial</x:v>
      </x:c>
      <x:c r="G24" s="30" t="s">
        <x:v>52</x:v>
      </x:c>
      <x:c r="H24" s="30" t="s">
        <x:v>36</x:v>
      </x:c>
      <x:c r="I24" s="30" t="s">
        <x:v>53</x:v>
      </x:c>
      <x:c r="J24" s="30">
        <x:v>3.0</x:v>
      </x:c>
      <x:c r="K24" s="30" t="s">
        <x:v>14</x:v>
      </x:c>
      <x:c r="L24" s="30">
        <x:v>15.0</x:v>
      </x:c>
      <x:c r="M24" s="30" t="s">
        <x:v>54</x:v>
      </x:c>
    </x:row>
    <x:row r="25" ht="15.75" customHeight="1">
      <x:c r="A25" s="31">
        <x:v>46022.0</x:v>
      </x:c>
      <x:c r="B25" s="32" t="s">
        <x:v>55</x:v>
      </x:c>
      <x:c r="C25" s="32">
        <x:v>50.0</x:v>
      </x:c>
      <x:c r="F25" s="30" t="str">
        <x:f t="array" ref="F25:M25">IF($B25="","",_xlfn.XLOOKUP($B25,Metric_Dictionary!$A:$A,Metric_Dictionary!$B:$I,""))</x:f>
        <x:v>sustainability</x:v>
      </x:c>
      <x:c r="G25" s="30" t="s">
        <x:v>57</x:v>
      </x:c>
      <x:c r="H25" s="30" t="s">
        <x:v>31</x:v>
      </x:c>
      <x:c r="I25" s="30" t="s">
        <x:v>58</x:v>
      </x:c>
      <x:c r="J25" s="30">
        <x:v>1.0</x:v>
      </x:c>
      <x:c r="K25" s="30" t="s">
        <x:v>14</x:v>
      </x:c>
      <x:c r="L25" s="30">
        <x:v>65.0</x:v>
      </x:c>
      <x:c r="M25" s="30" t="s">
        <x:v>59</x:v>
      </x:c>
    </x:row>
    <x:row r="26" ht="15.75" customHeight="1">
      <x:c r="A26" s="34">
        <x:v>46022.0</x:v>
      </x:c>
      <x:c r="B26" s="35" t="s">
        <x:v>60</x:v>
      </x:c>
      <x:c r="C26" s="35">
        <x:v>10.0</x:v>
      </x:c>
      <x:c r="F26" s="30" t="str">
        <x:f t="array" ref="F26:M26">IF($B26="","",_xlfn.XLOOKUP($B26,Metric_Dictionary!$A:$A,Metric_Dictionary!$B:$I,""))</x:f>
        <x:v>sustainability</x:v>
      </x:c>
      <x:c r="G26" s="30" t="s">
        <x:v>61</x:v>
      </x:c>
      <x:c r="H26" s="30" t="s">
        <x:v>31</x:v>
      </x:c>
      <x:c r="I26" s="30" t="s">
        <x:v>62</x:v>
      </x:c>
      <x:c r="J26" s="30">
        <x:v>2.0</x:v>
      </x:c>
      <x:c r="K26" s="30" t="s">
        <x:v>14</x:v>
      </x:c>
      <x:c r="L26" s="30">
        <x:v>18.0</x:v>
      </x:c>
      <x:c r="M26" s="30" t="s">
        <x:v>63</x:v>
      </x:c>
    </x:row>
    <x:row r="27" ht="15.75" customHeight="1">
      <x:c r="A27" s="31">
        <x:v>46022.0</x:v>
      </x:c>
      <x:c r="B27" s="32" t="s">
        <x:v>64</x:v>
      </x:c>
      <x:c r="C27" s="32">
        <x:v>8.0</x:v>
      </x:c>
      <x:c r="F27" s="30" t="str">
        <x:f t="array" ref="F27:M27">IF($B27="","",_xlfn.XLOOKUP($B27,Metric_Dictionary!$A:$A,Metric_Dictionary!$B:$I,""))</x:f>
        <x:v>sustainability</x:v>
      </x:c>
      <x:c r="G27" s="30" t="s">
        <x:v>65</x:v>
      </x:c>
      <x:c r="H27" s="30" t="s">
        <x:v>36</x:v>
      </x:c>
      <x:c r="I27" s="30" t="s">
        <x:v>66</x:v>
      </x:c>
      <x:c r="J27" s="30">
        <x:v>3.0</x:v>
      </x:c>
      <x:c r="K27" s="30" t="s">
        <x:v>14</x:v>
      </x:c>
      <x:c r="L27" s="30">
        <x:v>12.0</x:v>
      </x:c>
      <x:c r="M27" s="30" t="s">
        <x:v>67</x:v>
      </x:c>
    </x:row>
    <x:row r="28" ht="15.75" customHeight="1">
      <x:c r="A28" s="34">
        <x:v>46053.0</x:v>
      </x:c>
      <x:c r="B28" s="35" t="s">
        <x:v>28</x:v>
      </x:c>
      <x:c r="C28" s="35">
        <x:v>17.0</x:v>
      </x:c>
      <x:c r="F28" s="30" t="str">
        <x:f t="array" ref="F28:M28">IF($B28="","",_xlfn.XLOOKUP($B28,Metric_Dictionary!$A:$A,Metric_Dictionary!$B:$I,""))</x:f>
        <x:v>mission</x:v>
      </x:c>
      <x:c r="G28" s="30" t="s">
        <x:v>30</x:v>
      </x:c>
      <x:c r="H28" s="30" t="s">
        <x:v>31</x:v>
      </x:c>
      <x:c r="I28" s="30" t="s">
        <x:v>32</x:v>
      </x:c>
      <x:c r="J28" s="30">
        <x:v>1.0</x:v>
      </x:c>
      <x:c r="K28" s="30" t="s">
        <x:v>14</x:v>
      </x:c>
      <x:c r="L28" s="30">
        <x:v>31.0</x:v>
      </x:c>
      <x:c r="M28" s="30" t="s">
        <x:v>33</x:v>
      </x:c>
    </x:row>
    <x:row r="29" ht="15.75" customHeight="1">
      <x:c r="A29" s="31">
        <x:v>46203.0</x:v>
      </x:c>
      <x:c r="B29" s="32" t="s">
        <x:v>9</x:v>
      </x:c>
      <x:c r="C29" s="32">
        <x:v>80.0</x:v>
      </x:c>
      <x:c r="F29" s="30" t="str">
        <x:f t="array" ref="F29:M29">IF($B29="","",_xlfn.XLOOKUP($B29,Metric_Dictionary!$A:$A,Metric_Dictionary!$B:$I,""))</x:f>
        <x:v>system</x:v>
      </x:c>
      <x:c r="G29" s="30" t="s">
        <x:v>11</x:v>
      </x:c>
      <x:c r="H29" s="30" t="s">
        <x:v>12</x:v>
      </x:c>
      <x:c r="I29" s="30" t="s">
        <x:v>13</x:v>
      </x:c>
      <x:c r="J29" s="30">
        <x:v>1.0</x:v>
      </x:c>
      <x:c r="K29" s="30" t="s">
        <x:v>14</x:v>
      </x:c>
      <x:c r="L29" s="30">
        <x:v>85.0</x:v>
      </x:c>
      <x:c r="M29" s="30" t="s">
        <x:v>15</x:v>
      </x:c>
    </x:row>
    <x:row r="30" ht="15.75" customHeight="1">
      <x:c r="A30" s="34">
        <x:v>46203.0</x:v>
      </x:c>
      <x:c r="B30" s="35" t="s">
        <x:v>16</x:v>
      </x:c>
      <x:c r="C30" s="35">
        <x:v>84.0</x:v>
      </x:c>
      <x:c r="F30" s="30" t="str">
        <x:f t="array" ref="F30:M30">IF($B30="","",_xlfn.XLOOKUP($B30,Metric_Dictionary!$A:$A,Metric_Dictionary!$B:$I,""))</x:f>
        <x:v>system</x:v>
      </x:c>
      <x:c r="G30" s="30" t="s">
        <x:v>17</x:v>
      </x:c>
      <x:c r="H30" s="30" t="s">
        <x:v>12</x:v>
      </x:c>
      <x:c r="I30" s="30" t="s">
        <x:v>18</x:v>
      </x:c>
      <x:c r="J30" s="30">
        <x:v>2.0</x:v>
      </x:c>
      <x:c r="K30" s="30" t="s">
        <x:v>14</x:v>
      </x:c>
      <x:c r="L30" s="30">
        <x:v>88.0</x:v>
      </x:c>
      <x:c r="M30" s="30" t="s">
        <x:v>19</x:v>
      </x:c>
    </x:row>
    <x:row r="31" ht="15.75" customHeight="1">
      <x:c r="A31" s="31">
        <x:v>46203.0</x:v>
      </x:c>
      <x:c r="B31" s="32" t="s">
        <x:v>20</x:v>
      </x:c>
      <x:c r="C31" s="32">
        <x:v>78.0</x:v>
      </x:c>
      <x:c r="F31" s="30" t="str">
        <x:f t="array" ref="F31:M31">IF($B31="","",_xlfn.XLOOKUP($B31,Metric_Dictionary!$A:$A,Metric_Dictionary!$B:$I,""))</x:f>
        <x:v>system</x:v>
      </x:c>
      <x:c r="G31" s="30" t="s">
        <x:v>21</x:v>
      </x:c>
      <x:c r="H31" s="30" t="s">
        <x:v>12</x:v>
      </x:c>
      <x:c r="I31" s="30" t="s">
        <x:v>22</x:v>
      </x:c>
      <x:c r="J31" s="30">
        <x:v>3.0</x:v>
      </x:c>
      <x:c r="K31" s="30" t="s">
        <x:v>14</x:v>
      </x:c>
      <x:c r="L31" s="30">
        <x:v>82.0</x:v>
      </x:c>
      <x:c r="M31" s="30" t="s">
        <x:v>23</x:v>
      </x:c>
    </x:row>
    <x:row r="32" ht="15.75" customHeight="1">
      <x:c r="A32" s="34">
        <x:v>46203.0</x:v>
      </x:c>
      <x:c r="B32" s="35" t="s">
        <x:v>24</x:v>
      </x:c>
      <x:c r="C32" s="35">
        <x:v>72.0</x:v>
      </x:c>
      <x:c r="F32" s="30" t="str">
        <x:f t="array" ref="F32:M32">IF($B32="","",_xlfn.XLOOKUP($B32,Metric_Dictionary!$A:$A,Metric_Dictionary!$B:$I,""))</x:f>
        <x:v>system</x:v>
      </x:c>
      <x:c r="G32" s="30" t="s">
        <x:v>25</x:v>
      </x:c>
      <x:c r="H32" s="30" t="s">
        <x:v>12</x:v>
      </x:c>
      <x:c r="I32" s="30" t="s">
        <x:v>26</x:v>
      </x:c>
      <x:c r="J32" s="30">
        <x:v>4.0</x:v>
      </x:c>
      <x:c r="K32" s="30" t="s">
        <x:v>14</x:v>
      </x:c>
      <x:c r="L32" s="30">
        <x:v>80.0</x:v>
      </x:c>
      <x:c r="M32" s="30" t="s">
        <x:v>27</x:v>
      </x:c>
    </x:row>
    <x:row r="33" ht="15.75" customHeight="1">
      <x:c r="A33" s="31">
        <x:v>46203.0</x:v>
      </x:c>
      <x:c r="B33" s="32" t="s">
        <x:v>55</x:v>
      </x:c>
      <x:c r="C33" s="32">
        <x:v>61.0</x:v>
      </x:c>
      <x:c r="F33" s="30" t="str">
        <x:f t="array" ref="F33:M33">IF($B33="","",_xlfn.XLOOKUP($B33,Metric_Dictionary!$A:$A,Metric_Dictionary!$B:$I,""))</x:f>
        <x:v>sustainability</x:v>
      </x:c>
      <x:c r="G33" s="30" t="s">
        <x:v>57</x:v>
      </x:c>
      <x:c r="H33" s="30" t="s">
        <x:v>31</x:v>
      </x:c>
      <x:c r="I33" s="30" t="s">
        <x:v>58</x:v>
      </x:c>
      <x:c r="J33" s="30">
        <x:v>1.0</x:v>
      </x:c>
      <x:c r="K33" s="30" t="s">
        <x:v>14</x:v>
      </x:c>
      <x:c r="L33" s="30">
        <x:v>65.0</x:v>
      </x:c>
      <x:c r="M33" s="30" t="s">
        <x:v>59</x:v>
      </x:c>
    </x:row>
    <x:row r="34" ht="15.75" customHeight="1">
      <x:c r="A34" s="34">
        <x:v>46203.0</x:v>
      </x:c>
      <x:c r="B34" s="35" t="s">
        <x:v>60</x:v>
      </x:c>
      <x:c r="C34" s="35">
        <x:v>10.0</x:v>
      </x:c>
      <x:c r="F34" s="30" t="str">
        <x:f t="array" ref="F34:M34">IF($B34="","",_xlfn.XLOOKUP($B34,Metric_Dictionary!$A:$A,Metric_Dictionary!$B:$I,""))</x:f>
        <x:v>sustainability</x:v>
      </x:c>
      <x:c r="G34" s="30" t="s">
        <x:v>61</x:v>
      </x:c>
      <x:c r="H34" s="30" t="s">
        <x:v>31</x:v>
      </x:c>
      <x:c r="I34" s="30" t="s">
        <x:v>62</x:v>
      </x:c>
      <x:c r="J34" s="30">
        <x:v>2.0</x:v>
      </x:c>
      <x:c r="K34" s="30" t="s">
        <x:v>14</x:v>
      </x:c>
      <x:c r="L34" s="30">
        <x:v>18.0</x:v>
      </x:c>
      <x:c r="M34" s="30" t="s">
        <x:v>63</x:v>
      </x:c>
    </x:row>
    <x:row r="35" ht="15.75" customHeight="1">
      <x:c r="A35" s="31">
        <x:v>46203.0</x:v>
      </x:c>
      <x:c r="B35" s="32" t="s">
        <x:v>64</x:v>
      </x:c>
      <x:c r="C35" s="32">
        <x:v>11.0</x:v>
      </x:c>
      <x:c r="F35" s="30" t="str">
        <x:f t="array" ref="F35:M35">IF($B35="","",_xlfn.XLOOKUP($B35,Metric_Dictionary!$A:$A,Metric_Dictionary!$B:$I,""))</x:f>
        <x:v>sustainability</x:v>
      </x:c>
      <x:c r="G35" s="30" t="s">
        <x:v>65</x:v>
      </x:c>
      <x:c r="H35" s="30" t="s">
        <x:v>36</x:v>
      </x:c>
      <x:c r="I35" s="30" t="s">
        <x:v>66</x:v>
      </x:c>
      <x:c r="J35" s="30">
        <x:v>3.0</x:v>
      </x:c>
      <x:c r="K35" s="30" t="s">
        <x:v>14</x:v>
      </x:c>
      <x:c r="L35" s="30">
        <x:v>12.0</x:v>
      </x:c>
      <x:c r="M35" s="30" t="s">
        <x:v>67</x:v>
      </x:c>
    </x:row>
    <x:row r="36" ht="15.75" customHeight="1">
      <x:c r="A36" s="34">
        <x:v>46203.0</x:v>
      </x:c>
      <x:c r="B36" s="35" t="s">
        <x:v>28</x:v>
      </x:c>
      <x:c r="C36" s="35">
        <x:v>15.0</x:v>
      </x:c>
      <x:c r="F36" s="30" t="str">
        <x:f t="array" ref="F36:M36">IF($B36="","",_xlfn.XLOOKUP($B36,Metric_Dictionary!$A:$A,Metric_Dictionary!$B:$I,""))</x:f>
        <x:v>mission</x:v>
      </x:c>
      <x:c r="G36" s="30" t="s">
        <x:v>30</x:v>
      </x:c>
      <x:c r="H36" s="30" t="s">
        <x:v>31</x:v>
      </x:c>
      <x:c r="I36" s="30" t="s">
        <x:v>32</x:v>
      </x:c>
      <x:c r="J36" s="30">
        <x:v>1.0</x:v>
      </x:c>
      <x:c r="K36" s="30" t="s">
        <x:v>14</x:v>
      </x:c>
      <x:c r="L36" s="30">
        <x:v>31.0</x:v>
      </x:c>
      <x:c r="M36" s="30" t="s">
        <x:v>33</x:v>
      </x:c>
    </x:row>
    <x:row r="37" ht="15.75" customHeight="1">
      <x:c r="A37" s="31">
        <x:v>46203.0</x:v>
      </x:c>
      <x:c r="B37" s="32" t="s">
        <x:v>34</x:v>
      </x:c>
      <x:c r="C37" s="32">
        <x:v>97000.0</x:v>
      </x:c>
      <x:c r="F37" s="30" t="str">
        <x:f t="array" ref="F37:M37">IF($B37="","",_xlfn.XLOOKUP($B37,Metric_Dictionary!$A:$A,Metric_Dictionary!$B:$I,""))</x:f>
        <x:v>mission</x:v>
      </x:c>
      <x:c r="G37" s="30" t="s">
        <x:v>35</x:v>
      </x:c>
      <x:c r="H37" s="30" t="s">
        <x:v>36</x:v>
      </x:c>
      <x:c r="I37" s="30" t="s">
        <x:v>37</x:v>
      </x:c>
      <x:c r="J37" s="30">
        <x:v>2.0</x:v>
      </x:c>
      <x:c r="K37" s="30" t="s">
        <x:v>14</x:v>
      </x:c>
      <x:c r="L37" s="30">
        <x:v>101000.0</x:v>
      </x:c>
      <x:c r="M37" s="30" t="s">
        <x:v>38</x:v>
      </x:c>
    </x:row>
    <x:row r="38" ht="15.75" customHeight="1">
      <x:c r="A38" s="34">
        <x:v>46203.0</x:v>
      </x:c>
      <x:c r="B38" s="35" t="s">
        <x:v>39</x:v>
      </x:c>
      <x:c r="C38" s="35">
        <x:v>46.0</x:v>
      </x:c>
      <x:c r="F38" s="30" t="str">
        <x:f t="array" ref="F38:M38">IF($B38="","",_xlfn.XLOOKUP($B38,Metric_Dictionary!$A:$A,Metric_Dictionary!$B:$I,""))</x:f>
        <x:v>mission</x:v>
      </x:c>
      <x:c r="G38" s="30" t="s">
        <x:v>40</x:v>
      </x:c>
      <x:c r="H38" s="30" t="s">
        <x:v>31</x:v>
      </x:c>
      <x:c r="I38" s="30" t="s">
        <x:v>41</x:v>
      </x:c>
      <x:c r="J38" s="30">
        <x:v>3.0</x:v>
      </x:c>
      <x:c r="K38" s="30" t="s">
        <x:v>14</x:v>
      </x:c>
      <x:c r="L38" s="30">
        <x:v>50.0</x:v>
      </x:c>
      <x:c r="M38" s="30" t="s">
        <x:v>42</x:v>
      </x:c>
    </x:row>
    <x:row r="39" ht="15.75" customHeight="1">
      <x:c r="A39" s="31">
        <x:v>46203.0</x:v>
      </x:c>
      <x:c r="B39" s="32" t="s">
        <x:v>43</x:v>
      </x:c>
      <x:c r="C39" s="32">
        <x:v>62.0</x:v>
      </x:c>
      <x:c r="F39" s="30" t="str">
        <x:f t="array" ref="F39:M39">IF($B39="","",_xlfn.XLOOKUP($B39,Metric_Dictionary!$A:$A,Metric_Dictionary!$B:$I,""))</x:f>
        <x:v>financial</x:v>
      </x:c>
      <x:c r="G39" s="30" t="s">
        <x:v>45</x:v>
      </x:c>
      <x:c r="H39" s="30" t="s">
        <x:v>31</x:v>
      </x:c>
      <x:c r="I39" s="30" t="s">
        <x:v>46</x:v>
      </x:c>
      <x:c r="J39" s="30">
        <x:v>1.0</x:v>
      </x:c>
      <x:c r="K39" s="30" t="s">
        <x:v>14</x:v>
      </x:c>
      <x:c r="L39" s="30">
        <x:v>70.0</x:v>
      </x:c>
      <x:c r="M39" s="30" t="s">
        <x:v>47</x:v>
      </x:c>
    </x:row>
    <x:row r="40" ht="15.75" customHeight="1">
      <x:c r="A40" s="34">
        <x:v>46203.0</x:v>
      </x:c>
      <x:c r="B40" s="35" t="s">
        <x:v>48</x:v>
      </x:c>
      <x:c r="C40" s="35">
        <x:v>82.0</x:v>
      </x:c>
      <x:c r="F40" s="30" t="str">
        <x:f t="array" ref="F40:M40">IF($B40="","",_xlfn.XLOOKUP($B40,Metric_Dictionary!$A:$A,Metric_Dictionary!$B:$I,""))</x:f>
        <x:v>financial</x:v>
      </x:c>
      <x:c r="G40" s="30" t="s">
        <x:v>49</x:v>
      </x:c>
      <x:c r="H40" s="30" t="s">
        <x:v>31</x:v>
      </x:c>
      <x:c r="I40" s="30" t="s">
        <x:v>18</x:v>
      </x:c>
      <x:c r="J40" s="30">
        <x:v>2.0</x:v>
      </x:c>
      <x:c r="K40" s="30" t="s">
        <x:v>14</x:v>
      </x:c>
      <x:c r="L40" s="30">
        <x:v>85.0</x:v>
      </x:c>
      <x:c r="M40" s="30" t="s">
        <x:v>50</x:v>
      </x:c>
    </x:row>
    <x:row r="41" ht="15.75" customHeight="1">
      <x:c r="A41" s="31">
        <x:v>46203.0</x:v>
      </x:c>
      <x:c r="B41" s="32" t="s">
        <x:v>51</x:v>
      </x:c>
      <x:c r="C41" s="32">
        <x:v>11.0</x:v>
      </x:c>
      <x:c r="F41" s="30" t="str">
        <x:f t="array" ref="F41:M41">IF($B41="","",_xlfn.XLOOKUP($B41,Metric_Dictionary!$A:$A,Metric_Dictionary!$B:$I,""))</x:f>
        <x:v>financial</x:v>
      </x:c>
      <x:c r="G41" s="30" t="s">
        <x:v>52</x:v>
      </x:c>
      <x:c r="H41" s="30" t="s">
        <x:v>36</x:v>
      </x:c>
      <x:c r="I41" s="30" t="s">
        <x:v>53</x:v>
      </x:c>
      <x:c r="J41" s="30">
        <x:v>3.0</x:v>
      </x:c>
      <x:c r="K41" s="30" t="s">
        <x:v>14</x:v>
      </x:c>
      <x:c r="L41" s="30">
        <x:v>15.0</x:v>
      </x:c>
      <x:c r="M41" s="30" t="s">
        <x:v>54</x:v>
      </x:c>
    </x:row>
    <x:row r="42" ht="15.75" customHeight="1">
      <x:c r="A42" s="34">
        <x:v>46220.0</x:v>
      </x:c>
      <x:c r="B42" s="35" t="s">
        <x:v>28</x:v>
      </x:c>
      <x:c r="C42" s="43">
        <x:v>16.0</x:v>
      </x:c>
      <x:c r="F42" s="30" t="str">
        <x:f t="array" ref="F42:M42">IF($B42="","",_xlfn.XLOOKUP($B42,Metric_Dictionary!$A:$A,Metric_Dictionary!$B:$I,""))</x:f>
        <x:v>mission</x:v>
      </x:c>
      <x:c r="G42" s="30" t="s">
        <x:v>30</x:v>
      </x:c>
      <x:c r="H42" s="30" t="s">
        <x:v>31</x:v>
      </x:c>
      <x:c r="I42" s="30" t="s">
        <x:v>32</x:v>
      </x:c>
      <x:c r="J42" s="30">
        <x:v>1.0</x:v>
      </x:c>
      <x:c r="K42" s="30" t="s">
        <x:v>14</x:v>
      </x:c>
      <x:c r="L42" s="30">
        <x:v>31.0</x:v>
      </x:c>
      <x:c r="M42" s="30" t="s">
        <x:v>33</x:v>
      </x:c>
    </x:row>
    <x:row r="43" ht="15.75" customHeight="1">
      <x:c r="A43" s="31">
        <x:v>46230.0</x:v>
      </x:c>
      <x:c r="B43" s="32" t="s">
        <x:v>34</x:v>
      </x:c>
      <x:c r="C43" s="44">
        <x:v>99001.0</x:v>
      </x:c>
      <x:c r="F43" s="30" t="str">
        <x:f t="array" ref="F43:M43">IF($B43="","",_xlfn.XLOOKUP($B43,Metric_Dictionary!$A:$A,Metric_Dictionary!$B:$I,""))</x:f>
        <x:v>mission</x:v>
      </x:c>
      <x:c r="G43" s="30" t="s">
        <x:v>35</x:v>
      </x:c>
      <x:c r="H43" s="30" t="s">
        <x:v>36</x:v>
      </x:c>
      <x:c r="I43" s="30" t="s">
        <x:v>37</x:v>
      </x:c>
      <x:c r="J43" s="30">
        <x:v>2.0</x:v>
      </x:c>
      <x:c r="K43" s="30" t="s">
        <x:v>14</x:v>
      </x:c>
      <x:c r="L43" s="30">
        <x:v>101000.0</x:v>
      </x:c>
      <x:c r="M43" s="30" t="s">
        <x:v>38</x:v>
      </x:c>
    </x:row>
    <x:row r="44" ht="15.75" customHeight="1">
      <x:c r="A44" s="37"/>
      <x:c r="B44" s="6"/>
      <x:c r="F44" s="30" t="str">
        <x:f t="array" ref="F44">IF($B44="","",_xlfn.XLOOKUP($B44,Metric_Dictionary!$A:$A,Metric_Dictionary!$B:$I,""))</x:f>
      </x:c>
      <x:c r="G44" s="30"/>
      <x:c r="H44" s="30"/>
      <x:c r="I44" s="30"/>
      <x:c r="J44" s="30"/>
      <x:c r="K44" s="30"/>
      <x:c r="L44" s="30"/>
      <x:c r="M44" s="30"/>
    </x:row>
    <x:row r="45" ht="15.75" customHeight="1">
      <x:c r="A45" s="37"/>
      <x:c r="B45" s="6"/>
      <x:c r="F45" s="30" t="str">
        <x:f t="array" ref="F45">IF($B45="","",_xlfn.XLOOKUP($B45,Metric_Dictionary!$A:$A,Metric_Dictionary!$B:$I,""))</x:f>
      </x:c>
      <x:c r="G45" s="30"/>
      <x:c r="H45" s="30"/>
      <x:c r="I45" s="30"/>
      <x:c r="J45" s="30"/>
      <x:c r="K45" s="30"/>
      <x:c r="L45" s="30"/>
      <x:c r="M45" s="30"/>
    </x:row>
    <x:row r="46" ht="15.75" customHeight="1">
      <x:c r="A46" s="37"/>
      <x:c r="B46" s="6"/>
      <x:c r="F46" s="30" t="str">
        <x:f t="array" ref="F46">IF($B46="","",_xlfn.XLOOKUP($B46,Metric_Dictionary!$A:$A,Metric_Dictionary!$B:$I,""))</x:f>
      </x:c>
      <x:c r="G46" s="30"/>
      <x:c r="H46" s="30"/>
      <x:c r="I46" s="30"/>
      <x:c r="J46" s="30"/>
      <x:c r="K46" s="30"/>
      <x:c r="L46" s="30"/>
      <x:c r="M46" s="30"/>
    </x:row>
    <x:row r="47" ht="15.75" customHeight="1">
      <x:c r="A47" s="37"/>
      <x:c r="B47" s="6"/>
      <x:c r="F47" s="30" t="str">
        <x:f t="array" ref="F47">IF($B47="","",_xlfn.XLOOKUP($B47,Metric_Dictionary!$A:$A,Metric_Dictionary!$B:$I,""))</x:f>
      </x:c>
      <x:c r="G47" s="30"/>
      <x:c r="H47" s="30"/>
      <x:c r="I47" s="30"/>
      <x:c r="J47" s="30"/>
      <x:c r="K47" s="30"/>
      <x:c r="L47" s="30"/>
      <x:c r="M47" s="30"/>
    </x:row>
    <x:row r="48" ht="15.75" customHeight="1">
      <x:c r="A48" s="37"/>
      <x:c r="B48" s="6"/>
      <x:c r="F48" s="30" t="str">
        <x:f t="array" ref="F48">IF($B48="","",_xlfn.XLOOKUP($B48,Metric_Dictionary!$A:$A,Metric_Dictionary!$B:$I,""))</x:f>
      </x:c>
      <x:c r="G48" s="30"/>
      <x:c r="H48" s="30"/>
      <x:c r="I48" s="30"/>
      <x:c r="J48" s="30"/>
      <x:c r="K48" s="30"/>
      <x:c r="L48" s="30"/>
      <x:c r="M48" s="30"/>
    </x:row>
    <x:row r="49" ht="15.75" customHeight="1">
      <x:c r="A49" s="37"/>
      <x:c r="B49" s="6"/>
      <x:c r="F49" s="30" t="str">
        <x:f t="array" ref="F49">IF($B49="","",_xlfn.XLOOKUP($B49,Metric_Dictionary!$A:$A,Metric_Dictionary!$B:$I,""))</x:f>
      </x:c>
      <x:c r="G49" s="30"/>
      <x:c r="H49" s="30"/>
      <x:c r="I49" s="30"/>
      <x:c r="J49" s="30"/>
      <x:c r="K49" s="30"/>
      <x:c r="L49" s="30"/>
      <x:c r="M49" s="30"/>
    </x:row>
    <x:row r="50" ht="15.75" customHeight="1">
      <x:c r="A50" s="37"/>
      <x:c r="B50" s="6"/>
      <x:c r="F50" s="30" t="str">
        <x:f t="array" ref="F50">IF($B50="","",_xlfn.XLOOKUP($B50,Metric_Dictionary!$A:$A,Metric_Dictionary!$B:$I,""))</x:f>
      </x:c>
      <x:c r="G50" s="30"/>
      <x:c r="H50" s="30"/>
      <x:c r="I50" s="30"/>
      <x:c r="J50" s="30"/>
      <x:c r="K50" s="30"/>
      <x:c r="L50" s="30"/>
      <x:c r="M50" s="30"/>
    </x:row>
    <x:row r="51" ht="15.75" customHeight="1">
      <x:c r="A51" s="37"/>
      <x:c r="B51" s="6"/>
      <x:c r="F51" s="30" t="str">
        <x:f t="array" ref="F51">IF($B51="","",_xlfn.XLOOKUP($B51,Metric_Dictionary!$A:$A,Metric_Dictionary!$B:$I,""))</x:f>
      </x:c>
      <x:c r="G51" s="30"/>
      <x:c r="H51" s="30"/>
      <x:c r="I51" s="30"/>
      <x:c r="J51" s="30"/>
      <x:c r="K51" s="30"/>
      <x:c r="L51" s="30"/>
      <x:c r="M51" s="30"/>
    </x:row>
    <x:row r="52" ht="15.75" customHeight="1">
      <x:c r="A52" s="37"/>
      <x:c r="B52" s="6"/>
      <x:c r="F52" s="30" t="str">
        <x:f t="array" ref="F52">IF($B52="","",_xlfn.XLOOKUP($B52,Metric_Dictionary!$A:$A,Metric_Dictionary!$B:$I,""))</x:f>
      </x:c>
      <x:c r="G52" s="30"/>
      <x:c r="H52" s="30"/>
      <x:c r="I52" s="30"/>
      <x:c r="J52" s="30"/>
      <x:c r="K52" s="30"/>
      <x:c r="L52" s="30"/>
      <x:c r="M52" s="30"/>
    </x:row>
    <x:row r="53" ht="15.75" customHeight="1">
      <x:c r="A53" s="37"/>
      <x:c r="B53" s="6"/>
      <x:c r="F53" s="30" t="str">
        <x:f t="array" ref="F53">IF($B53="","",_xlfn.XLOOKUP($B53,Metric_Dictionary!$A:$A,Metric_Dictionary!$B:$I,""))</x:f>
      </x:c>
      <x:c r="G53" s="30"/>
      <x:c r="H53" s="30"/>
      <x:c r="I53" s="30"/>
      <x:c r="J53" s="30"/>
      <x:c r="K53" s="30"/>
      <x:c r="L53" s="30"/>
      <x:c r="M53" s="30"/>
    </x:row>
    <x:row r="54" ht="15.75" customHeight="1">
      <x:c r="A54" s="37"/>
      <x:c r="B54" s="6"/>
      <x:c r="F54" s="30" t="str">
        <x:f t="array" ref="F54">IF($B54="","",_xlfn.XLOOKUP($B54,Metric_Dictionary!$A:$A,Metric_Dictionary!$B:$I,""))</x:f>
      </x:c>
      <x:c r="G54" s="30"/>
      <x:c r="H54" s="30"/>
      <x:c r="I54" s="30"/>
      <x:c r="J54" s="30"/>
      <x:c r="K54" s="30"/>
      <x:c r="L54" s="30"/>
      <x:c r="M54" s="30"/>
    </x:row>
    <x:row r="55" ht="15.75" customHeight="1">
      <x:c r="A55" s="37"/>
      <x:c r="B55" s="6"/>
      <x:c r="F55" s="30" t="str">
        <x:f t="array" ref="F55">IF($B55="","",_xlfn.XLOOKUP($B55,Metric_Dictionary!$A:$A,Metric_Dictionary!$B:$I,""))</x:f>
      </x:c>
      <x:c r="G55" s="30"/>
      <x:c r="H55" s="30"/>
      <x:c r="I55" s="30"/>
      <x:c r="J55" s="30"/>
      <x:c r="K55" s="30"/>
      <x:c r="L55" s="30"/>
      <x:c r="M55" s="30"/>
    </x:row>
    <x:row r="56" ht="15.75" customHeight="1">
      <x:c r="A56" s="37"/>
      <x:c r="B56" s="6"/>
      <x:c r="F56" s="30" t="str">
        <x:f t="array" ref="F56">IF($B56="","",_xlfn.XLOOKUP($B56,Metric_Dictionary!$A:$A,Metric_Dictionary!$B:$I,""))</x:f>
      </x:c>
      <x:c r="G56" s="30"/>
      <x:c r="H56" s="30"/>
      <x:c r="I56" s="30"/>
      <x:c r="J56" s="30"/>
      <x:c r="K56" s="30"/>
      <x:c r="L56" s="30"/>
      <x:c r="M56" s="30"/>
    </x:row>
    <x:row r="57" ht="15.75" customHeight="1">
      <x:c r="A57" s="37"/>
      <x:c r="B57" s="6"/>
      <x:c r="F57" s="30" t="str">
        <x:f t="array" ref="F57">IF($B57="","",_xlfn.XLOOKUP($B57,Metric_Dictionary!$A:$A,Metric_Dictionary!$B:$I,""))</x:f>
      </x:c>
      <x:c r="G57" s="30"/>
      <x:c r="H57" s="30"/>
      <x:c r="I57" s="30"/>
      <x:c r="J57" s="30"/>
      <x:c r="K57" s="30"/>
      <x:c r="L57" s="30"/>
      <x:c r="M57" s="30"/>
    </x:row>
    <x:row r="58" ht="15.75" customHeight="1">
      <x:c r="A58" s="37"/>
      <x:c r="B58" s="6"/>
      <x:c r="F58" s="30" t="str">
        <x:f t="array" ref="F58">IF($B58="","",_xlfn.XLOOKUP($B58,Metric_Dictionary!$A:$A,Metric_Dictionary!$B:$I,""))</x:f>
      </x:c>
      <x:c r="G58" s="30"/>
      <x:c r="H58" s="30"/>
      <x:c r="I58" s="30"/>
      <x:c r="J58" s="30"/>
      <x:c r="K58" s="30"/>
      <x:c r="L58" s="30"/>
      <x:c r="M58" s="30"/>
    </x:row>
    <x:row r="59" ht="15.75" customHeight="1">
      <x:c r="A59" s="37"/>
      <x:c r="B59" s="6"/>
      <x:c r="F59" s="30" t="str">
        <x:f t="array" ref="F59">IF($B59="","",_xlfn.XLOOKUP($B59,Metric_Dictionary!$A:$A,Metric_Dictionary!$B:$I,""))</x:f>
      </x:c>
      <x:c r="G59" s="30"/>
      <x:c r="H59" s="30"/>
      <x:c r="I59" s="30"/>
      <x:c r="J59" s="30"/>
      <x:c r="K59" s="30"/>
      <x:c r="L59" s="30"/>
      <x:c r="M59" s="30"/>
    </x:row>
    <x:row r="60" ht="15.75" customHeight="1">
      <x:c r="A60" s="37"/>
      <x:c r="B60" s="6"/>
      <x:c r="F60" s="30" t="str">
        <x:f t="array" ref="F60">IF($B60="","",_xlfn.XLOOKUP($B60,Metric_Dictionary!$A:$A,Metric_Dictionary!$B:$I,""))</x:f>
      </x:c>
      <x:c r="G60" s="30"/>
      <x:c r="H60" s="30"/>
      <x:c r="I60" s="30"/>
      <x:c r="J60" s="30"/>
      <x:c r="K60" s="30"/>
      <x:c r="L60" s="30"/>
      <x:c r="M60" s="30"/>
    </x:row>
    <x:row r="61" ht="15.75" customHeight="1">
      <x:c r="A61" s="37"/>
      <x:c r="B61" s="6"/>
      <x:c r="F61" s="30" t="str">
        <x:f t="array" ref="F61">IF($B61="","",_xlfn.XLOOKUP($B61,Metric_Dictionary!$A:$A,Metric_Dictionary!$B:$I,""))</x:f>
      </x:c>
      <x:c r="G61" s="30"/>
      <x:c r="H61" s="30"/>
      <x:c r="I61" s="30"/>
      <x:c r="J61" s="30"/>
      <x:c r="K61" s="30"/>
      <x:c r="L61" s="30"/>
      <x:c r="M61" s="30"/>
    </x:row>
    <x:row r="62" ht="15.75" customHeight="1">
      <x:c r="A62" s="37"/>
      <x:c r="B62" s="6"/>
      <x:c r="F62" s="30" t="str">
        <x:f t="array" ref="F62">IF($B62="","",_xlfn.XLOOKUP($B62,Metric_Dictionary!$A:$A,Metric_Dictionary!$B:$I,""))</x:f>
      </x:c>
      <x:c r="G62" s="30"/>
      <x:c r="H62" s="30"/>
      <x:c r="I62" s="30"/>
      <x:c r="J62" s="30"/>
      <x:c r="K62" s="30"/>
      <x:c r="L62" s="30"/>
      <x:c r="M62" s="30"/>
    </x:row>
    <x:row r="63" ht="15.75" customHeight="1">
      <x:c r="A63" s="37"/>
      <x:c r="B63" s="6"/>
      <x:c r="F63" s="30" t="str">
        <x:f t="array" ref="F63">IF($B63="","",_xlfn.XLOOKUP($B63,Metric_Dictionary!$A:$A,Metric_Dictionary!$B:$I,""))</x:f>
      </x:c>
      <x:c r="G63" s="30"/>
      <x:c r="H63" s="30"/>
      <x:c r="I63" s="30"/>
      <x:c r="J63" s="30"/>
      <x:c r="K63" s="30"/>
      <x:c r="L63" s="30"/>
      <x:c r="M63" s="30"/>
    </x:row>
    <x:row r="64" ht="15.75" customHeight="1">
      <x:c r="A64" s="37"/>
      <x:c r="B64" s="6"/>
      <x:c r="F64" s="30" t="str">
        <x:f t="array" ref="F64">IF($B64="","",_xlfn.XLOOKUP($B64,Metric_Dictionary!$A:$A,Metric_Dictionary!$B:$I,""))</x:f>
      </x:c>
      <x:c r="G64" s="30"/>
      <x:c r="H64" s="30"/>
      <x:c r="I64" s="30"/>
      <x:c r="J64" s="30"/>
      <x:c r="K64" s="30"/>
      <x:c r="L64" s="30"/>
      <x:c r="M64" s="30"/>
    </x:row>
    <x:row r="65" ht="15.75" customHeight="1">
      <x:c r="A65" s="37"/>
      <x:c r="B65" s="6"/>
      <x:c r="F65" s="30" t="str">
        <x:f t="array" ref="F65">IF($B65="","",_xlfn.XLOOKUP($B65,Metric_Dictionary!$A:$A,Metric_Dictionary!$B:$I,""))</x:f>
      </x:c>
      <x:c r="G65" s="30"/>
      <x:c r="H65" s="30"/>
      <x:c r="I65" s="30"/>
      <x:c r="J65" s="30"/>
      <x:c r="K65" s="30"/>
      <x:c r="L65" s="30"/>
      <x:c r="M65" s="30"/>
    </x:row>
    <x:row r="66" ht="15.75" customHeight="1">
      <x:c r="A66" s="37"/>
      <x:c r="B66" s="6"/>
      <x:c r="F66" s="30" t="str">
        <x:f t="array" ref="F66">IF($B66="","",_xlfn.XLOOKUP($B66,Metric_Dictionary!$A:$A,Metric_Dictionary!$B:$I,""))</x:f>
      </x:c>
      <x:c r="G66" s="30"/>
      <x:c r="H66" s="30"/>
      <x:c r="I66" s="30"/>
      <x:c r="J66" s="30"/>
      <x:c r="K66" s="30"/>
      <x:c r="L66" s="30"/>
      <x:c r="M66" s="30"/>
    </x:row>
    <x:row r="67" ht="15.75" customHeight="1">
      <x:c r="A67" s="37"/>
      <x:c r="B67" s="6"/>
      <x:c r="F67" s="30" t="str">
        <x:f t="array" ref="F67">IF($B67="","",_xlfn.XLOOKUP($B67,Metric_Dictionary!$A:$A,Metric_Dictionary!$B:$I,""))</x:f>
      </x:c>
      <x:c r="G67" s="30"/>
      <x:c r="H67" s="30"/>
      <x:c r="I67" s="30"/>
      <x:c r="J67" s="30"/>
      <x:c r="K67" s="30"/>
      <x:c r="L67" s="30"/>
      <x:c r="M67" s="30"/>
    </x:row>
    <x:row r="68" ht="15.75" customHeight="1">
      <x:c r="A68" s="37"/>
      <x:c r="B68" s="6"/>
      <x:c r="F68" s="30" t="str">
        <x:f t="array" ref="F68">IF($B68="","",_xlfn.XLOOKUP($B68,Metric_Dictionary!$A:$A,Metric_Dictionary!$B:$I,""))</x:f>
      </x:c>
      <x:c r="G68" s="30"/>
      <x:c r="H68" s="30"/>
      <x:c r="I68" s="30"/>
      <x:c r="J68" s="30"/>
      <x:c r="K68" s="30"/>
      <x:c r="L68" s="30"/>
      <x:c r="M68" s="30"/>
    </x:row>
    <x:row r="69" ht="15.75" customHeight="1">
      <x:c r="A69" s="37"/>
      <x:c r="B69" s="6"/>
      <x:c r="F69" s="30" t="str">
        <x:f t="array" ref="F69">IF($B69="","",_xlfn.XLOOKUP($B69,Metric_Dictionary!$A:$A,Metric_Dictionary!$B:$I,""))</x:f>
      </x:c>
      <x:c r="G69" s="30"/>
      <x:c r="H69" s="30"/>
      <x:c r="I69" s="30"/>
      <x:c r="J69" s="30"/>
      <x:c r="K69" s="30"/>
      <x:c r="L69" s="30"/>
      <x:c r="M69" s="30"/>
    </x:row>
    <x:row r="70" ht="15.75" customHeight="1">
      <x:c r="A70" s="37"/>
      <x:c r="B70" s="6"/>
      <x:c r="F70" s="30" t="str">
        <x:f t="array" ref="F70">IF($B70="","",_xlfn.XLOOKUP($B70,Metric_Dictionary!$A:$A,Metric_Dictionary!$B:$I,""))</x:f>
      </x:c>
      <x:c r="G70" s="30"/>
      <x:c r="H70" s="30"/>
      <x:c r="I70" s="30"/>
      <x:c r="J70" s="30"/>
      <x:c r="K70" s="30"/>
      <x:c r="L70" s="30"/>
      <x:c r="M70" s="30"/>
    </x:row>
    <x:row r="71" ht="15.75" customHeight="1">
      <x:c r="A71" s="37"/>
      <x:c r="B71" s="6"/>
      <x:c r="F71" s="30" t="str">
        <x:f t="array" ref="F71">IF($B71="","",_xlfn.XLOOKUP($B71,Metric_Dictionary!$A:$A,Metric_Dictionary!$B:$I,""))</x:f>
      </x:c>
      <x:c r="G71" s="30"/>
      <x:c r="H71" s="30"/>
      <x:c r="I71" s="30"/>
      <x:c r="J71" s="30"/>
      <x:c r="K71" s="30"/>
      <x:c r="L71" s="30"/>
      <x:c r="M71" s="30"/>
    </x:row>
    <x:row r="72" ht="15.75" customHeight="1">
      <x:c r="A72" s="37"/>
      <x:c r="B72" s="6"/>
      <x:c r="F72" s="30" t="str">
        <x:f t="array" ref="F72">IF($B72="","",_xlfn.XLOOKUP($B72,Metric_Dictionary!$A:$A,Metric_Dictionary!$B:$I,""))</x:f>
      </x:c>
      <x:c r="G72" s="30"/>
      <x:c r="H72" s="30"/>
      <x:c r="I72" s="30"/>
      <x:c r="J72" s="30"/>
      <x:c r="K72" s="30"/>
      <x:c r="L72" s="30"/>
      <x:c r="M72" s="30"/>
    </x:row>
    <x:row r="73" ht="15.75" customHeight="1">
      <x:c r="A73" s="37"/>
      <x:c r="B73" s="6"/>
      <x:c r="F73" s="30" t="str">
        <x:f t="array" ref="F73">IF($B73="","",_xlfn.XLOOKUP($B73,Metric_Dictionary!$A:$A,Metric_Dictionary!$B:$I,""))</x:f>
      </x:c>
      <x:c r="G73" s="30"/>
      <x:c r="H73" s="30"/>
      <x:c r="I73" s="30"/>
      <x:c r="J73" s="30"/>
      <x:c r="K73" s="30"/>
      <x:c r="L73" s="30"/>
      <x:c r="M73" s="30"/>
    </x:row>
    <x:row r="74" ht="15.75" customHeight="1">
      <x:c r="A74" s="37"/>
      <x:c r="B74" s="6"/>
      <x:c r="F74" s="30" t="str">
        <x:f t="array" ref="F74">IF($B74="","",_xlfn.XLOOKUP($B74,Metric_Dictionary!$A:$A,Metric_Dictionary!$B:$I,""))</x:f>
      </x:c>
      <x:c r="G74" s="30"/>
      <x:c r="H74" s="30"/>
      <x:c r="I74" s="30"/>
      <x:c r="J74" s="30"/>
      <x:c r="K74" s="30"/>
      <x:c r="L74" s="30"/>
      <x:c r="M74" s="30"/>
    </x:row>
    <x:row r="75" ht="15.75" customHeight="1">
      <x:c r="A75" s="37"/>
      <x:c r="B75" s="6"/>
      <x:c r="F75" s="30" t="str">
        <x:f t="array" ref="F75">IF($B75="","",_xlfn.XLOOKUP($B75,Metric_Dictionary!$A:$A,Metric_Dictionary!$B:$I,""))</x:f>
      </x:c>
      <x:c r="G75" s="30"/>
      <x:c r="H75" s="30"/>
      <x:c r="I75" s="30"/>
      <x:c r="J75" s="30"/>
      <x:c r="K75" s="30"/>
      <x:c r="L75" s="30"/>
      <x:c r="M75" s="30"/>
    </x:row>
    <x:row r="76" ht="15.75" customHeight="1">
      <x:c r="A76" s="37"/>
      <x:c r="B76" s="6"/>
      <x:c r="F76" s="30" t="str">
        <x:f t="array" ref="F76">IF($B76="","",_xlfn.XLOOKUP($B76,Metric_Dictionary!$A:$A,Metric_Dictionary!$B:$I,""))</x:f>
      </x:c>
      <x:c r="G76" s="30"/>
      <x:c r="H76" s="30"/>
      <x:c r="I76" s="30"/>
      <x:c r="J76" s="30"/>
      <x:c r="K76" s="30"/>
      <x:c r="L76" s="30"/>
      <x:c r="M76" s="30"/>
    </x:row>
    <x:row r="77" ht="15.75" customHeight="1">
      <x:c r="A77" s="37"/>
      <x:c r="B77" s="6"/>
      <x:c r="F77" s="30" t="str">
        <x:f t="array" ref="F77">IF($B77="","",_xlfn.XLOOKUP($B77,Metric_Dictionary!$A:$A,Metric_Dictionary!$B:$I,""))</x:f>
      </x:c>
      <x:c r="G77" s="30"/>
      <x:c r="H77" s="30"/>
      <x:c r="I77" s="30"/>
      <x:c r="J77" s="30"/>
      <x:c r="K77" s="30"/>
      <x:c r="L77" s="30"/>
      <x:c r="M77" s="30"/>
    </x:row>
    <x:row r="78" ht="15.75" customHeight="1">
      <x:c r="A78" s="37"/>
      <x:c r="B78" s="6"/>
      <x:c r="F78" s="30" t="str">
        <x:f t="array" ref="F78">IF($B78="","",_xlfn.XLOOKUP($B78,Metric_Dictionary!$A:$A,Metric_Dictionary!$B:$I,""))</x:f>
      </x:c>
      <x:c r="G78" s="30"/>
      <x:c r="H78" s="30"/>
      <x:c r="I78" s="30"/>
      <x:c r="J78" s="30"/>
      <x:c r="K78" s="30"/>
      <x:c r="L78" s="30"/>
      <x:c r="M78" s="30"/>
    </x:row>
    <x:row r="79" ht="15.75" customHeight="1">
      <x:c r="A79" s="37"/>
      <x:c r="B79" s="6"/>
      <x:c r="F79" s="30" t="str">
        <x:f t="array" ref="F79">IF($B79="","",_xlfn.XLOOKUP($B79,Metric_Dictionary!$A:$A,Metric_Dictionary!$B:$I,""))</x:f>
      </x:c>
      <x:c r="G79" s="30"/>
      <x:c r="H79" s="30"/>
      <x:c r="I79" s="30"/>
      <x:c r="J79" s="30"/>
      <x:c r="K79" s="30"/>
      <x:c r="L79" s="30"/>
      <x:c r="M79" s="30"/>
    </x:row>
    <x:row r="80" ht="15.75" customHeight="1">
      <x:c r="A80" s="37"/>
      <x:c r="B80" s="6"/>
      <x:c r="F80" s="30" t="str">
        <x:f t="array" ref="F80">IF($B80="","",_xlfn.XLOOKUP($B80,Metric_Dictionary!$A:$A,Metric_Dictionary!$B:$I,""))</x:f>
      </x:c>
      <x:c r="G80" s="30"/>
      <x:c r="H80" s="30"/>
      <x:c r="I80" s="30"/>
      <x:c r="J80" s="30"/>
      <x:c r="K80" s="30"/>
      <x:c r="L80" s="30"/>
      <x:c r="M80" s="30"/>
    </x:row>
    <x:row r="81" ht="15.75" customHeight="1">
      <x:c r="A81" s="37"/>
      <x:c r="B81" s="6"/>
      <x:c r="F81" s="30" t="str">
        <x:f t="array" ref="F81">IF($B81="","",_xlfn.XLOOKUP($B81,Metric_Dictionary!$A:$A,Metric_Dictionary!$B:$I,""))</x:f>
      </x:c>
      <x:c r="G81" s="30"/>
      <x:c r="H81" s="30"/>
      <x:c r="I81" s="30"/>
      <x:c r="J81" s="30"/>
      <x:c r="K81" s="30"/>
      <x:c r="L81" s="30"/>
      <x:c r="M81" s="30"/>
    </x:row>
    <x:row r="82" ht="15.75" customHeight="1">
      <x:c r="A82" s="37"/>
      <x:c r="B82" s="6"/>
      <x:c r="F82" s="30" t="str">
        <x:f t="array" ref="F82">IF($B82="","",_xlfn.XLOOKUP($B82,Metric_Dictionary!$A:$A,Metric_Dictionary!$B:$I,""))</x:f>
      </x:c>
      <x:c r="G82" s="30"/>
      <x:c r="H82" s="30"/>
      <x:c r="I82" s="30"/>
      <x:c r="J82" s="30"/>
      <x:c r="K82" s="30"/>
      <x:c r="L82" s="30"/>
      <x:c r="M82" s="30"/>
    </x:row>
    <x:row r="83" ht="15.75" customHeight="1">
      <x:c r="A83" s="37"/>
      <x:c r="B83" s="6"/>
      <x:c r="F83" s="30" t="str">
        <x:f t="array" ref="F83">IF($B83="","",_xlfn.XLOOKUP($B83,Metric_Dictionary!$A:$A,Metric_Dictionary!$B:$I,""))</x:f>
      </x:c>
      <x:c r="G83" s="30"/>
      <x:c r="H83" s="30"/>
      <x:c r="I83" s="30"/>
      <x:c r="J83" s="30"/>
      <x:c r="K83" s="30"/>
      <x:c r="L83" s="30"/>
      <x:c r="M83" s="30"/>
    </x:row>
    <x:row r="84" ht="15.75" customHeight="1">
      <x:c r="A84" s="37"/>
      <x:c r="B84" s="6"/>
      <x:c r="F84" s="30" t="str">
        <x:f t="array" ref="F84">IF($B84="","",_xlfn.XLOOKUP($B84,Metric_Dictionary!$A:$A,Metric_Dictionary!$B:$I,""))</x:f>
      </x:c>
      <x:c r="G84" s="30"/>
      <x:c r="H84" s="30"/>
      <x:c r="I84" s="30"/>
      <x:c r="J84" s="30"/>
      <x:c r="K84" s="30"/>
      <x:c r="L84" s="30"/>
      <x:c r="M84" s="30"/>
    </x:row>
    <x:row r="85" ht="15.75" customHeight="1">
      <x:c r="A85" s="37"/>
      <x:c r="B85" s="6"/>
      <x:c r="F85" s="30" t="str">
        <x:f t="array" ref="F85">IF($B85="","",_xlfn.XLOOKUP($B85,Metric_Dictionary!$A:$A,Metric_Dictionary!$B:$I,""))</x:f>
      </x:c>
      <x:c r="G85" s="30"/>
      <x:c r="H85" s="30"/>
      <x:c r="I85" s="30"/>
      <x:c r="J85" s="30"/>
      <x:c r="K85" s="30"/>
      <x:c r="L85" s="30"/>
      <x:c r="M85" s="30"/>
    </x:row>
    <x:row r="86" ht="15.75" customHeight="1">
      <x:c r="A86" s="37"/>
      <x:c r="B86" s="6"/>
      <x:c r="F86" s="30" t="str">
        <x:f t="array" ref="F86">IF($B86="","",_xlfn.XLOOKUP($B86,Metric_Dictionary!$A:$A,Metric_Dictionary!$B:$I,""))</x:f>
      </x:c>
      <x:c r="G86" s="30"/>
      <x:c r="H86" s="30"/>
      <x:c r="I86" s="30"/>
      <x:c r="J86" s="30"/>
      <x:c r="K86" s="30"/>
      <x:c r="L86" s="30"/>
      <x:c r="M86" s="30"/>
    </x:row>
    <x:row r="87" ht="15.75" customHeight="1">
      <x:c r="A87" s="37"/>
      <x:c r="B87" s="6"/>
      <x:c r="F87" s="30" t="str">
        <x:f t="array" ref="F87">IF($B87="","",_xlfn.XLOOKUP($B87,Metric_Dictionary!$A:$A,Metric_Dictionary!$B:$I,""))</x:f>
      </x:c>
      <x:c r="G87" s="30"/>
      <x:c r="H87" s="30"/>
      <x:c r="I87" s="30"/>
      <x:c r="J87" s="30"/>
      <x:c r="K87" s="30"/>
      <x:c r="L87" s="30"/>
      <x:c r="M87" s="30"/>
    </x:row>
    <x:row r="88" ht="15.75" customHeight="1">
      <x:c r="A88" s="37"/>
      <x:c r="B88" s="6"/>
      <x:c r="F88" s="30" t="str">
        <x:f t="array" ref="F88">IF($B88="","",_xlfn.XLOOKUP($B88,Metric_Dictionary!$A:$A,Metric_Dictionary!$B:$I,""))</x:f>
      </x:c>
      <x:c r="G88" s="30"/>
      <x:c r="H88" s="30"/>
      <x:c r="I88" s="30"/>
      <x:c r="J88" s="30"/>
      <x:c r="K88" s="30"/>
      <x:c r="L88" s="30"/>
      <x:c r="M88" s="30"/>
    </x:row>
    <x:row r="89" ht="15.75" customHeight="1">
      <x:c r="A89" s="37"/>
      <x:c r="B89" s="6"/>
      <x:c r="F89" s="30" t="str">
        <x:f t="array" ref="F89">IF($B89="","",_xlfn.XLOOKUP($B89,Metric_Dictionary!$A:$A,Metric_Dictionary!$B:$I,""))</x:f>
      </x:c>
      <x:c r="G89" s="30"/>
      <x:c r="H89" s="30"/>
      <x:c r="I89" s="30"/>
      <x:c r="J89" s="30"/>
      <x:c r="K89" s="30"/>
      <x:c r="L89" s="30"/>
      <x:c r="M89" s="30"/>
    </x:row>
    <x:row r="90" ht="15.75" customHeight="1">
      <x:c r="A90" s="37"/>
      <x:c r="B90" s="6"/>
      <x:c r="F90" s="30" t="str">
        <x:f t="array" ref="F90">IF($B90="","",_xlfn.XLOOKUP($B90,Metric_Dictionary!$A:$A,Metric_Dictionary!$B:$I,""))</x:f>
      </x:c>
      <x:c r="G90" s="30"/>
      <x:c r="H90" s="30"/>
      <x:c r="I90" s="30"/>
      <x:c r="J90" s="30"/>
      <x:c r="K90" s="30"/>
      <x:c r="L90" s="30"/>
      <x:c r="M90" s="30"/>
    </x:row>
    <x:row r="91" ht="15.75" customHeight="1">
      <x:c r="A91" s="37"/>
      <x:c r="B91" s="6"/>
      <x:c r="F91" s="30" t="str">
        <x:f t="array" ref="F91">IF($B91="","",_xlfn.XLOOKUP($B91,Metric_Dictionary!$A:$A,Metric_Dictionary!$B:$I,""))</x:f>
      </x:c>
      <x:c r="G91" s="30"/>
      <x:c r="H91" s="30"/>
      <x:c r="I91" s="30"/>
      <x:c r="J91" s="30"/>
      <x:c r="K91" s="30"/>
      <x:c r="L91" s="30"/>
      <x:c r="M91" s="30"/>
    </x:row>
    <x:row r="92" ht="15.75" customHeight="1">
      <x:c r="A92" s="37"/>
      <x:c r="B92" s="6"/>
      <x:c r="F92" s="30" t="str">
        <x:f t="array" ref="F92">IF($B92="","",_xlfn.XLOOKUP($B92,Metric_Dictionary!$A:$A,Metric_Dictionary!$B:$I,""))</x:f>
      </x:c>
      <x:c r="G92" s="30"/>
      <x:c r="H92" s="30"/>
      <x:c r="I92" s="30"/>
      <x:c r="J92" s="30"/>
      <x:c r="K92" s="30"/>
      <x:c r="L92" s="30"/>
      <x:c r="M92" s="30"/>
    </x:row>
    <x:row r="93" ht="15.75" customHeight="1">
      <x:c r="A93" s="37"/>
      <x:c r="B93" s="6"/>
      <x:c r="F93" s="30" t="str">
        <x:f t="array" ref="F93">IF($B93="","",_xlfn.XLOOKUP($B93,Metric_Dictionary!$A:$A,Metric_Dictionary!$B:$I,""))</x:f>
      </x:c>
      <x:c r="G93" s="30"/>
      <x:c r="H93" s="30"/>
      <x:c r="I93" s="30"/>
      <x:c r="J93" s="30"/>
      <x:c r="K93" s="30"/>
      <x:c r="L93" s="30"/>
      <x:c r="M93" s="30"/>
    </x:row>
    <x:row r="94" ht="15.75" customHeight="1">
      <x:c r="A94" s="37"/>
      <x:c r="B94" s="6"/>
      <x:c r="F94" s="30" t="str">
        <x:f t="array" ref="F94">IF($B94="","",_xlfn.XLOOKUP($B94,Metric_Dictionary!$A:$A,Metric_Dictionary!$B:$I,""))</x:f>
      </x:c>
      <x:c r="G94" s="30"/>
      <x:c r="H94" s="30"/>
      <x:c r="I94" s="30"/>
      <x:c r="J94" s="30"/>
      <x:c r="K94" s="30"/>
      <x:c r="L94" s="30"/>
      <x:c r="M94" s="30"/>
    </x:row>
    <x:row r="95" ht="15.75" customHeight="1">
      <x:c r="A95" s="37"/>
      <x:c r="B95" s="6"/>
      <x:c r="F95" s="30" t="str">
        <x:f t="array" ref="F95">IF($B95="","",_xlfn.XLOOKUP($B95,Metric_Dictionary!$A:$A,Metric_Dictionary!$B:$I,""))</x:f>
      </x:c>
      <x:c r="G95" s="30"/>
      <x:c r="H95" s="30"/>
      <x:c r="I95" s="30"/>
      <x:c r="J95" s="30"/>
      <x:c r="K95" s="30"/>
      <x:c r="L95" s="30"/>
      <x:c r="M95" s="30"/>
    </x:row>
    <x:row r="96" ht="15.75" customHeight="1">
      <x:c r="A96" s="37"/>
      <x:c r="B96" s="6"/>
      <x:c r="F96" s="30" t="str">
        <x:f t="array" ref="F96">IF($B96="","",_xlfn.XLOOKUP($B96,Metric_Dictionary!$A:$A,Metric_Dictionary!$B:$I,""))</x:f>
      </x:c>
      <x:c r="G96" s="30"/>
      <x:c r="H96" s="30"/>
      <x:c r="I96" s="30"/>
      <x:c r="J96" s="30"/>
      <x:c r="K96" s="30"/>
      <x:c r="L96" s="30"/>
      <x:c r="M96" s="30"/>
    </x:row>
    <x:row r="97" ht="15.75" customHeight="1">
      <x:c r="A97" s="37"/>
      <x:c r="B97" s="6"/>
      <x:c r="F97" s="30" t="str">
        <x:f t="array" ref="F97">IF($B97="","",_xlfn.XLOOKUP($B97,Metric_Dictionary!$A:$A,Metric_Dictionary!$B:$I,""))</x:f>
      </x:c>
      <x:c r="G97" s="30"/>
      <x:c r="H97" s="30"/>
      <x:c r="I97" s="30"/>
      <x:c r="J97" s="30"/>
      <x:c r="K97" s="30"/>
      <x:c r="L97" s="30"/>
      <x:c r="M97" s="30"/>
    </x:row>
    <x:row r="98" ht="15.75" customHeight="1">
      <x:c r="A98" s="37"/>
      <x:c r="B98" s="6"/>
      <x:c r="F98" s="30" t="str">
        <x:f t="array" ref="F98">IF($B98="","",_xlfn.XLOOKUP($B98,Metric_Dictionary!$A:$A,Metric_Dictionary!$B:$I,""))</x:f>
      </x:c>
      <x:c r="G98" s="30"/>
      <x:c r="H98" s="30"/>
      <x:c r="I98" s="30"/>
      <x:c r="J98" s="30"/>
      <x:c r="K98" s="30"/>
      <x:c r="L98" s="30"/>
      <x:c r="M98" s="30"/>
    </x:row>
    <x:row r="99" ht="15.75" customHeight="1">
      <x:c r="A99" s="37"/>
      <x:c r="B99" s="6"/>
      <x:c r="F99" s="30" t="str">
        <x:f t="array" ref="F99">IF($B99="","",_xlfn.XLOOKUP($B99,Metric_Dictionary!$A:$A,Metric_Dictionary!$B:$I,""))</x:f>
      </x:c>
      <x:c r="G99" s="30"/>
      <x:c r="H99" s="30"/>
      <x:c r="I99" s="30"/>
      <x:c r="J99" s="30"/>
      <x:c r="K99" s="30"/>
      <x:c r="L99" s="30"/>
      <x:c r="M99" s="30"/>
    </x:row>
    <x:row r="100" ht="15.75" customHeight="1">
      <x:c r="A100" s="37"/>
      <x:c r="B100" s="6"/>
      <x:c r="F100" s="30" t="str">
        <x:f t="array" ref="F100">IF($B100="","",_xlfn.XLOOKUP($B100,Metric_Dictionary!$A:$A,Metric_Dictionary!$B:$I,""))</x:f>
      </x:c>
      <x:c r="G100" s="30"/>
      <x:c r="H100" s="30"/>
      <x:c r="I100" s="30"/>
      <x:c r="J100" s="30"/>
      <x:c r="K100" s="30"/>
      <x:c r="L100" s="30"/>
      <x:c r="M100" s="30"/>
    </x:row>
    <x:row r="101" ht="15.75" customHeight="1">
      <x:c r="A101" s="37"/>
      <x:c r="B101" s="6"/>
      <x:c r="F101" s="30" t="str">
        <x:f t="array" ref="F101">IF($B101="","",_xlfn.XLOOKUP($B101,Metric_Dictionary!$A:$A,Metric_Dictionary!$B:$I,""))</x:f>
      </x:c>
      <x:c r="G101" s="30"/>
      <x:c r="H101" s="30"/>
      <x:c r="I101" s="30"/>
      <x:c r="J101" s="30"/>
      <x:c r="K101" s="30"/>
      <x:c r="L101" s="30"/>
      <x:c r="M101" s="30"/>
    </x:row>
    <x:row r="102" ht="15.75" customHeight="1">
      <x:c r="A102" s="37"/>
      <x:c r="B102" s="6"/>
      <x:c r="F102" s="30" t="str">
        <x:f t="array" ref="F102">IF($B102="","",_xlfn.XLOOKUP($B102,Metric_Dictionary!$A:$A,Metric_Dictionary!$B:$I,""))</x:f>
      </x:c>
      <x:c r="G102" s="30"/>
      <x:c r="H102" s="30"/>
      <x:c r="I102" s="30"/>
      <x:c r="J102" s="30"/>
      <x:c r="K102" s="30"/>
      <x:c r="L102" s="30"/>
      <x:c r="M102" s="30"/>
    </x:row>
    <x:row r="103" ht="15.75" customHeight="1">
      <x:c r="A103" s="37"/>
      <x:c r="B103" s="6"/>
      <x:c r="F103" s="30" t="str">
        <x:f t="array" ref="F103">IF($B103="","",_xlfn.XLOOKUP($B103,Metric_Dictionary!$A:$A,Metric_Dictionary!$B:$I,""))</x:f>
      </x:c>
      <x:c r="G103" s="30"/>
      <x:c r="H103" s="30"/>
      <x:c r="I103" s="30"/>
      <x:c r="J103" s="30"/>
      <x:c r="K103" s="30"/>
      <x:c r="L103" s="30"/>
      <x:c r="M103" s="30"/>
    </x:row>
    <x:row r="104" ht="15.75" customHeight="1">
      <x:c r="A104" s="37"/>
      <x:c r="B104" s="6"/>
      <x:c r="F104" s="30" t="str">
        <x:f t="array" ref="F104">IF($B104="","",_xlfn.XLOOKUP($B104,Metric_Dictionary!$A:$A,Metric_Dictionary!$B:$I,""))</x:f>
      </x:c>
      <x:c r="G104" s="30"/>
      <x:c r="H104" s="30"/>
      <x:c r="I104" s="30"/>
      <x:c r="J104" s="30"/>
      <x:c r="K104" s="30"/>
      <x:c r="L104" s="30"/>
      <x:c r="M104" s="30"/>
    </x:row>
    <x:row r="105" ht="15.75" customHeight="1">
      <x:c r="A105" s="37"/>
      <x:c r="B105" s="6"/>
      <x:c r="F105" s="30" t="str">
        <x:f t="array" ref="F105">IF($B105="","",_xlfn.XLOOKUP($B105,Metric_Dictionary!$A:$A,Metric_Dictionary!$B:$I,""))</x:f>
      </x:c>
      <x:c r="G105" s="30"/>
      <x:c r="H105" s="30"/>
      <x:c r="I105" s="30"/>
      <x:c r="J105" s="30"/>
      <x:c r="K105" s="30"/>
      <x:c r="L105" s="30"/>
      <x:c r="M105" s="30"/>
    </x:row>
    <x:row r="106" ht="15.75" customHeight="1">
      <x:c r="A106" s="37"/>
      <x:c r="B106" s="6"/>
      <x:c r="F106" s="30" t="str">
        <x:f t="array" ref="F106">IF($B106="","",_xlfn.XLOOKUP($B106,Metric_Dictionary!$A:$A,Metric_Dictionary!$B:$I,""))</x:f>
      </x:c>
      <x:c r="G106" s="30"/>
      <x:c r="H106" s="30"/>
      <x:c r="I106" s="30"/>
      <x:c r="J106" s="30"/>
      <x:c r="K106" s="30"/>
      <x:c r="L106" s="30"/>
      <x:c r="M106" s="30"/>
    </x:row>
    <x:row r="107" ht="15.75" customHeight="1">
      <x:c r="A107" s="37"/>
      <x:c r="B107" s="6"/>
      <x:c r="F107" s="30" t="str">
        <x:f t="array" ref="F107">IF($B107="","",_xlfn.XLOOKUP($B107,Metric_Dictionary!$A:$A,Metric_Dictionary!$B:$I,""))</x:f>
      </x:c>
      <x:c r="G107" s="30"/>
      <x:c r="H107" s="30"/>
      <x:c r="I107" s="30"/>
      <x:c r="J107" s="30"/>
      <x:c r="K107" s="30"/>
      <x:c r="L107" s="30"/>
      <x:c r="M107" s="30"/>
    </x:row>
    <x:row r="108" ht="15.75" customHeight="1">
      <x:c r="A108" s="37"/>
      <x:c r="B108" s="6"/>
      <x:c r="F108" s="30" t="str">
        <x:f t="array" ref="F108">IF($B108="","",_xlfn.XLOOKUP($B108,Metric_Dictionary!$A:$A,Metric_Dictionary!$B:$I,""))</x:f>
      </x:c>
      <x:c r="G108" s="30"/>
      <x:c r="H108" s="30"/>
      <x:c r="I108" s="30"/>
      <x:c r="J108" s="30"/>
      <x:c r="K108" s="30"/>
      <x:c r="L108" s="30"/>
      <x:c r="M108" s="30"/>
    </x:row>
    <x:row r="109" ht="15.75" customHeight="1">
      <x:c r="A109" s="37"/>
      <x:c r="B109" s="6"/>
      <x:c r="F109" s="30" t="str">
        <x:f t="array" ref="F109">IF($B109="","",_xlfn.XLOOKUP($B109,Metric_Dictionary!$A:$A,Metric_Dictionary!$B:$I,""))</x:f>
      </x:c>
      <x:c r="G109" s="30"/>
      <x:c r="H109" s="30"/>
      <x:c r="I109" s="30"/>
      <x:c r="J109" s="30"/>
      <x:c r="K109" s="30"/>
      <x:c r="L109" s="30"/>
      <x:c r="M109" s="30"/>
    </x:row>
    <x:row r="110" ht="15.75" customHeight="1">
      <x:c r="A110" s="37"/>
      <x:c r="B110" s="6"/>
      <x:c r="F110" s="30" t="str">
        <x:f t="array" ref="F110">IF($B110="","",_xlfn.XLOOKUP($B110,Metric_Dictionary!$A:$A,Metric_Dictionary!$B:$I,""))</x:f>
      </x:c>
      <x:c r="G110" s="30"/>
      <x:c r="H110" s="30"/>
      <x:c r="I110" s="30"/>
      <x:c r="J110" s="30"/>
      <x:c r="K110" s="30"/>
      <x:c r="L110" s="30"/>
      <x:c r="M110" s="30"/>
    </x:row>
    <x:row r="111" ht="15.75" customHeight="1">
      <x:c r="A111" s="37"/>
      <x:c r="B111" s="6"/>
      <x:c r="F111" s="30" t="str">
        <x:f t="array" ref="F111">IF($B111="","",_xlfn.XLOOKUP($B111,Metric_Dictionary!$A:$A,Metric_Dictionary!$B:$I,""))</x:f>
      </x:c>
      <x:c r="G111" s="30"/>
      <x:c r="H111" s="30"/>
      <x:c r="I111" s="30"/>
      <x:c r="J111" s="30"/>
      <x:c r="K111" s="30"/>
      <x:c r="L111" s="30"/>
      <x:c r="M111" s="30"/>
    </x:row>
    <x:row r="112" ht="15.75" customHeight="1">
      <x:c r="A112" s="37"/>
      <x:c r="B112" s="6"/>
      <x:c r="F112" s="30" t="str">
        <x:f t="array" ref="F112">IF($B112="","",_xlfn.XLOOKUP($B112,Metric_Dictionary!$A:$A,Metric_Dictionary!$B:$I,""))</x:f>
      </x:c>
      <x:c r="G112" s="30"/>
      <x:c r="H112" s="30"/>
      <x:c r="I112" s="30"/>
      <x:c r="J112" s="30"/>
      <x:c r="K112" s="30"/>
      <x:c r="L112" s="30"/>
      <x:c r="M112" s="30"/>
    </x:row>
    <x:row r="113" ht="15.75" customHeight="1">
      <x:c r="A113" s="37"/>
      <x:c r="B113" s="6"/>
      <x:c r="F113" s="30" t="str">
        <x:f t="array" ref="F113">IF($B113="","",_xlfn.XLOOKUP($B113,Metric_Dictionary!$A:$A,Metric_Dictionary!$B:$I,""))</x:f>
      </x:c>
      <x:c r="G113" s="30"/>
      <x:c r="H113" s="30"/>
      <x:c r="I113" s="30"/>
      <x:c r="J113" s="30"/>
      <x:c r="K113" s="30"/>
      <x:c r="L113" s="30"/>
      <x:c r="M113" s="30"/>
    </x:row>
    <x:row r="114" ht="15.75" customHeight="1">
      <x:c r="A114" s="37"/>
      <x:c r="B114" s="6"/>
      <x:c r="F114" s="30" t="str">
        <x:f t="array" ref="F114">IF($B114="","",_xlfn.XLOOKUP($B114,Metric_Dictionary!$A:$A,Metric_Dictionary!$B:$I,""))</x:f>
      </x:c>
      <x:c r="G114" s="30"/>
      <x:c r="H114" s="30"/>
      <x:c r="I114" s="30"/>
      <x:c r="J114" s="30"/>
      <x:c r="K114" s="30"/>
      <x:c r="L114" s="30"/>
      <x:c r="M114" s="30"/>
    </x:row>
    <x:row r="115" ht="15.75" customHeight="1">
      <x:c r="A115" s="37"/>
      <x:c r="B115" s="6"/>
      <x:c r="F115" s="30" t="str">
        <x:f t="array" ref="F115">IF($B115="","",_xlfn.XLOOKUP($B115,Metric_Dictionary!$A:$A,Metric_Dictionary!$B:$I,""))</x:f>
      </x:c>
      <x:c r="G115" s="30"/>
      <x:c r="H115" s="30"/>
      <x:c r="I115" s="30"/>
      <x:c r="J115" s="30"/>
      <x:c r="K115" s="30"/>
      <x:c r="L115" s="30"/>
      <x:c r="M115" s="30"/>
    </x:row>
    <x:row r="116" ht="15.75" customHeight="1">
      <x:c r="A116" s="37"/>
      <x:c r="B116" s="6"/>
      <x:c r="F116" s="30" t="str">
        <x:f t="array" ref="F116">IF($B116="","",_xlfn.XLOOKUP($B116,Metric_Dictionary!$A:$A,Metric_Dictionary!$B:$I,""))</x:f>
      </x:c>
      <x:c r="G116" s="30"/>
      <x:c r="H116" s="30"/>
      <x:c r="I116" s="30"/>
      <x:c r="J116" s="30"/>
      <x:c r="K116" s="30"/>
      <x:c r="L116" s="30"/>
      <x:c r="M116" s="30"/>
    </x:row>
    <x:row r="117" ht="15.75" customHeight="1">
      <x:c r="A117" s="37"/>
      <x:c r="B117" s="6"/>
      <x:c r="F117" s="30" t="str">
        <x:f t="array" ref="F117">IF($B117="","",_xlfn.XLOOKUP($B117,Metric_Dictionary!$A:$A,Metric_Dictionary!$B:$I,""))</x:f>
      </x:c>
      <x:c r="G117" s="30"/>
      <x:c r="H117" s="30"/>
      <x:c r="I117" s="30"/>
      <x:c r="J117" s="30"/>
      <x:c r="K117" s="30"/>
      <x:c r="L117" s="30"/>
      <x:c r="M117" s="30"/>
    </x:row>
    <x:row r="118" ht="15.75" customHeight="1">
      <x:c r="A118" s="37"/>
      <x:c r="B118" s="6"/>
      <x:c r="F118" s="30" t="str">
        <x:f t="array" ref="F118">IF($B118="","",_xlfn.XLOOKUP($B118,Metric_Dictionary!$A:$A,Metric_Dictionary!$B:$I,""))</x:f>
      </x:c>
      <x:c r="G118" s="30"/>
      <x:c r="H118" s="30"/>
      <x:c r="I118" s="30"/>
      <x:c r="J118" s="30"/>
      <x:c r="K118" s="30"/>
      <x:c r="L118" s="30"/>
      <x:c r="M118" s="30"/>
    </x:row>
    <x:row r="119" ht="15.75" customHeight="1">
      <x:c r="A119" s="37"/>
      <x:c r="B119" s="6"/>
      <x:c r="F119" s="30" t="str">
        <x:f t="array" ref="F119">IF($B119="","",_xlfn.XLOOKUP($B119,Metric_Dictionary!$A:$A,Metric_Dictionary!$B:$I,""))</x:f>
      </x:c>
      <x:c r="G119" s="30"/>
      <x:c r="H119" s="30"/>
      <x:c r="I119" s="30"/>
      <x:c r="J119" s="30"/>
      <x:c r="K119" s="30"/>
      <x:c r="L119" s="30"/>
      <x:c r="M119" s="30"/>
    </x:row>
    <x:row r="120" ht="15.75" customHeight="1">
      <x:c r="A120" s="37"/>
      <x:c r="B120" s="6"/>
      <x:c r="F120" s="30" t="str">
        <x:f t="array" ref="F120">IF($B120="","",_xlfn.XLOOKUP($B120,Metric_Dictionary!$A:$A,Metric_Dictionary!$B:$I,""))</x:f>
      </x:c>
      <x:c r="G120" s="30"/>
      <x:c r="H120" s="30"/>
      <x:c r="I120" s="30"/>
      <x:c r="J120" s="30"/>
      <x:c r="K120" s="30"/>
      <x:c r="L120" s="30"/>
      <x:c r="M120" s="30"/>
    </x:row>
    <x:row r="121" ht="15.75" customHeight="1">
      <x:c r="A121" s="37"/>
      <x:c r="B121" s="6"/>
      <x:c r="F121" s="30" t="str">
        <x:f t="array" ref="F121">IF($B121="","",_xlfn.XLOOKUP($B121,Metric_Dictionary!$A:$A,Metric_Dictionary!$B:$I,""))</x:f>
      </x:c>
      <x:c r="G121" s="30"/>
      <x:c r="H121" s="30"/>
      <x:c r="I121" s="30"/>
      <x:c r="J121" s="30"/>
      <x:c r="K121" s="30"/>
      <x:c r="L121" s="30"/>
      <x:c r="M121" s="30"/>
    </x:row>
    <x:row r="122" ht="15.75" customHeight="1">
      <x:c r="A122" s="37"/>
      <x:c r="B122" s="6"/>
      <x:c r="F122" s="30" t="str">
        <x:f t="array" ref="F122">IF($B122="","",_xlfn.XLOOKUP($B122,Metric_Dictionary!$A:$A,Metric_Dictionary!$B:$I,""))</x:f>
      </x:c>
      <x:c r="G122" s="30"/>
      <x:c r="H122" s="30"/>
      <x:c r="I122" s="30"/>
      <x:c r="J122" s="30"/>
      <x:c r="K122" s="30"/>
      <x:c r="L122" s="30"/>
      <x:c r="M122" s="30"/>
    </x:row>
    <x:row r="123" ht="15.75" customHeight="1">
      <x:c r="A123" s="37"/>
      <x:c r="B123" s="6"/>
      <x:c r="F123" s="30" t="str">
        <x:f t="array" ref="F123">IF($B123="","",_xlfn.XLOOKUP($B123,Metric_Dictionary!$A:$A,Metric_Dictionary!$B:$I,""))</x:f>
      </x:c>
      <x:c r="G123" s="30"/>
      <x:c r="H123" s="30"/>
      <x:c r="I123" s="30"/>
      <x:c r="J123" s="30"/>
      <x:c r="K123" s="30"/>
      <x:c r="L123" s="30"/>
      <x:c r="M123" s="30"/>
    </x:row>
    <x:row r="124" ht="15.75" customHeight="1">
      <x:c r="A124" s="37"/>
      <x:c r="B124" s="6"/>
      <x:c r="F124" s="30" t="str">
        <x:f t="array" ref="F124">IF($B124="","",_xlfn.XLOOKUP($B124,Metric_Dictionary!$A:$A,Metric_Dictionary!$B:$I,""))</x:f>
      </x:c>
      <x:c r="G124" s="30"/>
      <x:c r="H124" s="30"/>
      <x:c r="I124" s="30"/>
      <x:c r="J124" s="30"/>
      <x:c r="K124" s="30"/>
      <x:c r="L124" s="30"/>
      <x:c r="M124" s="30"/>
    </x:row>
    <x:row r="125" ht="15.75" customHeight="1">
      <x:c r="A125" s="37"/>
      <x:c r="B125" s="6"/>
      <x:c r="F125" s="30" t="str">
        <x:f t="array" ref="F125">IF($B125="","",_xlfn.XLOOKUP($B125,Metric_Dictionary!$A:$A,Metric_Dictionary!$B:$I,""))</x:f>
      </x:c>
      <x:c r="G125" s="30"/>
      <x:c r="H125" s="30"/>
      <x:c r="I125" s="30"/>
      <x:c r="J125" s="30"/>
      <x:c r="K125" s="30"/>
      <x:c r="L125" s="30"/>
      <x:c r="M125" s="30"/>
    </x:row>
    <x:row r="126" ht="15.75" customHeight="1">
      <x:c r="A126" s="37"/>
      <x:c r="B126" s="6"/>
      <x:c r="F126" s="30" t="str">
        <x:f t="array" ref="F126">IF($B126="","",_xlfn.XLOOKUP($B126,Metric_Dictionary!$A:$A,Metric_Dictionary!$B:$I,""))</x:f>
      </x:c>
      <x:c r="G126" s="30"/>
      <x:c r="H126" s="30"/>
      <x:c r="I126" s="30"/>
      <x:c r="J126" s="30"/>
      <x:c r="K126" s="30"/>
      <x:c r="L126" s="30"/>
      <x:c r="M126" s="30"/>
    </x:row>
    <x:row r="127" ht="15.75" customHeight="1">
      <x:c r="A127" s="37"/>
      <x:c r="B127" s="6"/>
      <x:c r="F127" s="30" t="str">
        <x:f t="array" ref="F127">IF($B127="","",_xlfn.XLOOKUP($B127,Metric_Dictionary!$A:$A,Metric_Dictionary!$B:$I,""))</x:f>
      </x:c>
      <x:c r="G127" s="30"/>
      <x:c r="H127" s="30"/>
      <x:c r="I127" s="30"/>
      <x:c r="J127" s="30"/>
      <x:c r="K127" s="30"/>
      <x:c r="L127" s="30"/>
      <x:c r="M127" s="30"/>
    </x:row>
    <x:row r="128" ht="15.75" customHeight="1">
      <x:c r="A128" s="37"/>
      <x:c r="B128" s="6"/>
      <x:c r="F128" s="30" t="str">
        <x:f t="array" ref="F128">IF($B128="","",_xlfn.XLOOKUP($B128,Metric_Dictionary!$A:$A,Metric_Dictionary!$B:$I,""))</x:f>
      </x:c>
      <x:c r="G128" s="30"/>
      <x:c r="H128" s="30"/>
      <x:c r="I128" s="30"/>
      <x:c r="J128" s="30"/>
      <x:c r="K128" s="30"/>
      <x:c r="L128" s="30"/>
      <x:c r="M128" s="30"/>
    </x:row>
    <x:row r="129" ht="15.75" customHeight="1">
      <x:c r="A129" s="37"/>
      <x:c r="B129" s="6"/>
      <x:c r="F129" s="30" t="str">
        <x:f t="array" ref="F129">IF($B129="","",_xlfn.XLOOKUP($B129,Metric_Dictionary!$A:$A,Metric_Dictionary!$B:$I,""))</x:f>
      </x:c>
      <x:c r="G129" s="30"/>
      <x:c r="H129" s="30"/>
      <x:c r="I129" s="30"/>
      <x:c r="J129" s="30"/>
      <x:c r="K129" s="30"/>
      <x:c r="L129" s="30"/>
      <x:c r="M129" s="30"/>
    </x:row>
    <x:row r="130" ht="15.75" customHeight="1">
      <x:c r="A130" s="37"/>
      <x:c r="B130" s="6"/>
      <x:c r="F130" s="30" t="str">
        <x:f t="array" ref="F130">IF($B130="","",_xlfn.XLOOKUP($B130,Metric_Dictionary!$A:$A,Metric_Dictionary!$B:$I,""))</x:f>
      </x:c>
      <x:c r="G130" s="30"/>
      <x:c r="H130" s="30"/>
      <x:c r="I130" s="30"/>
      <x:c r="J130" s="30"/>
      <x:c r="K130" s="30"/>
      <x:c r="L130" s="30"/>
      <x:c r="M130" s="30"/>
    </x:row>
    <x:row r="131" ht="15.75" customHeight="1">
      <x:c r="A131" s="37"/>
      <x:c r="B131" s="6"/>
      <x:c r="F131" s="30" t="str">
        <x:f t="array" ref="F131">IF($B131="","",_xlfn.XLOOKUP($B131,Metric_Dictionary!$A:$A,Metric_Dictionary!$B:$I,""))</x:f>
      </x:c>
      <x:c r="G131" s="30"/>
      <x:c r="H131" s="30"/>
      <x:c r="I131" s="30"/>
      <x:c r="J131" s="30"/>
      <x:c r="K131" s="30"/>
      <x:c r="L131" s="30"/>
      <x:c r="M131" s="30"/>
    </x:row>
    <x:row r="132" ht="15.75" customHeight="1">
      <x:c r="A132" s="37"/>
      <x:c r="B132" s="6"/>
      <x:c r="F132" s="30" t="str">
        <x:f t="array" ref="F132">IF($B132="","",_xlfn.XLOOKUP($B132,Metric_Dictionary!$A:$A,Metric_Dictionary!$B:$I,""))</x:f>
      </x:c>
      <x:c r="G132" s="30"/>
      <x:c r="H132" s="30"/>
      <x:c r="I132" s="30"/>
      <x:c r="J132" s="30"/>
      <x:c r="K132" s="30"/>
      <x:c r="L132" s="30"/>
      <x:c r="M132" s="30"/>
    </x:row>
    <x:row r="133" ht="15.75" customHeight="1">
      <x:c r="A133" s="37"/>
      <x:c r="B133" s="6"/>
      <x:c r="F133" s="30" t="str">
        <x:f t="array" ref="F133">IF($B133="","",_xlfn.XLOOKUP($B133,Metric_Dictionary!$A:$A,Metric_Dictionary!$B:$I,""))</x:f>
      </x:c>
      <x:c r="G133" s="30"/>
      <x:c r="H133" s="30"/>
      <x:c r="I133" s="30"/>
      <x:c r="J133" s="30"/>
      <x:c r="K133" s="30"/>
      <x:c r="L133" s="30"/>
      <x:c r="M133" s="30"/>
    </x:row>
    <x:row r="134" ht="15.75" customHeight="1">
      <x:c r="A134" s="37"/>
      <x:c r="B134" s="6"/>
      <x:c r="F134" s="30" t="str">
        <x:f t="array" ref="F134">IF($B134="","",_xlfn.XLOOKUP($B134,Metric_Dictionary!$A:$A,Metric_Dictionary!$B:$I,""))</x:f>
      </x:c>
      <x:c r="G134" s="30"/>
      <x:c r="H134" s="30"/>
      <x:c r="I134" s="30"/>
      <x:c r="J134" s="30"/>
      <x:c r="K134" s="30"/>
      <x:c r="L134" s="30"/>
      <x:c r="M134" s="30"/>
    </x:row>
    <x:row r="135" ht="15.75" customHeight="1">
      <x:c r="A135" s="37"/>
      <x:c r="B135" s="6"/>
      <x:c r="F135" s="30" t="str">
        <x:f t="array" ref="F135">IF($B135="","",_xlfn.XLOOKUP($B135,Metric_Dictionary!$A:$A,Metric_Dictionary!$B:$I,""))</x:f>
      </x:c>
      <x:c r="G135" s="30"/>
      <x:c r="H135" s="30"/>
      <x:c r="I135" s="30"/>
      <x:c r="J135" s="30"/>
      <x:c r="K135" s="30"/>
      <x:c r="L135" s="30"/>
      <x:c r="M135" s="30"/>
    </x:row>
    <x:row r="136" ht="15.75" customHeight="1">
      <x:c r="A136" s="37"/>
      <x:c r="B136" s="6"/>
      <x:c r="F136" s="30" t="str">
        <x:f t="array" ref="F136">IF($B136="","",_xlfn.XLOOKUP($B136,Metric_Dictionary!$A:$A,Metric_Dictionary!$B:$I,""))</x:f>
      </x:c>
      <x:c r="G136" s="30"/>
      <x:c r="H136" s="30"/>
      <x:c r="I136" s="30"/>
      <x:c r="J136" s="30"/>
      <x:c r="K136" s="30"/>
      <x:c r="L136" s="30"/>
      <x:c r="M136" s="30"/>
    </x:row>
    <x:row r="137" ht="15.75" customHeight="1">
      <x:c r="A137" s="37"/>
      <x:c r="B137" s="6"/>
      <x:c r="F137" s="30" t="str">
        <x:f t="array" ref="F137">IF($B137="","",_xlfn.XLOOKUP($B137,Metric_Dictionary!$A:$A,Metric_Dictionary!$B:$I,""))</x:f>
      </x:c>
      <x:c r="G137" s="30"/>
      <x:c r="H137" s="30"/>
      <x:c r="I137" s="30"/>
      <x:c r="J137" s="30"/>
      <x:c r="K137" s="30"/>
      <x:c r="L137" s="30"/>
      <x:c r="M137" s="30"/>
    </x:row>
    <x:row r="138" ht="15.75" customHeight="1">
      <x:c r="A138" s="37"/>
      <x:c r="B138" s="6"/>
      <x:c r="F138" s="30" t="str">
        <x:f t="array" ref="F138">IF($B138="","",_xlfn.XLOOKUP($B138,Metric_Dictionary!$A:$A,Metric_Dictionary!$B:$I,""))</x:f>
      </x:c>
      <x:c r="G138" s="30"/>
      <x:c r="H138" s="30"/>
      <x:c r="I138" s="30"/>
      <x:c r="J138" s="30"/>
      <x:c r="K138" s="30"/>
      <x:c r="L138" s="30"/>
      <x:c r="M138" s="30"/>
    </x:row>
    <x:row r="139" ht="15.75" customHeight="1">
      <x:c r="A139" s="37"/>
      <x:c r="B139" s="6"/>
      <x:c r="F139" s="30" t="str">
        <x:f t="array" ref="F139">IF($B139="","",_xlfn.XLOOKUP($B139,Metric_Dictionary!$A:$A,Metric_Dictionary!$B:$I,""))</x:f>
      </x:c>
      <x:c r="G139" s="30"/>
      <x:c r="H139" s="30"/>
      <x:c r="I139" s="30"/>
      <x:c r="J139" s="30"/>
      <x:c r="K139" s="30"/>
      <x:c r="L139" s="30"/>
      <x:c r="M139" s="30"/>
    </x:row>
    <x:row r="140" ht="15.75" customHeight="1">
      <x:c r="A140" s="37"/>
      <x:c r="B140" s="6"/>
      <x:c r="F140" s="30" t="str">
        <x:f t="array" ref="F140">IF($B140="","",_xlfn.XLOOKUP($B140,Metric_Dictionary!$A:$A,Metric_Dictionary!$B:$I,""))</x:f>
      </x:c>
      <x:c r="G140" s="30"/>
      <x:c r="H140" s="30"/>
      <x:c r="I140" s="30"/>
      <x:c r="J140" s="30"/>
      <x:c r="K140" s="30"/>
      <x:c r="L140" s="30"/>
      <x:c r="M140" s="30"/>
    </x:row>
    <x:row r="141" ht="15.75" customHeight="1">
      <x:c r="A141" s="37"/>
      <x:c r="B141" s="6"/>
      <x:c r="F141" s="30" t="str">
        <x:f t="array" ref="F141">IF($B141="","",_xlfn.XLOOKUP($B141,Metric_Dictionary!$A:$A,Metric_Dictionary!$B:$I,""))</x:f>
      </x:c>
      <x:c r="G141" s="30"/>
      <x:c r="H141" s="30"/>
      <x:c r="I141" s="30"/>
      <x:c r="J141" s="30"/>
      <x:c r="K141" s="30"/>
      <x:c r="L141" s="30"/>
      <x:c r="M141" s="30"/>
    </x:row>
    <x:row r="142" ht="15.75" customHeight="1">
      <x:c r="A142" s="37"/>
      <x:c r="B142" s="6"/>
      <x:c r="F142" s="30" t="str">
        <x:f t="array" ref="F142">IF($B142="","",_xlfn.XLOOKUP($B142,Metric_Dictionary!$A:$A,Metric_Dictionary!$B:$I,""))</x:f>
      </x:c>
      <x:c r="G142" s="30"/>
      <x:c r="H142" s="30"/>
      <x:c r="I142" s="30"/>
      <x:c r="J142" s="30"/>
      <x:c r="K142" s="30"/>
      <x:c r="L142" s="30"/>
      <x:c r="M142" s="30"/>
    </x:row>
    <x:row r="143" ht="15.75" customHeight="1">
      <x:c r="A143" s="37"/>
      <x:c r="B143" s="6"/>
      <x:c r="F143" s="30" t="str">
        <x:f t="array" ref="F143">IF($B143="","",_xlfn.XLOOKUP($B143,Metric_Dictionary!$A:$A,Metric_Dictionary!$B:$I,""))</x:f>
      </x:c>
      <x:c r="G143" s="30"/>
      <x:c r="H143" s="30"/>
      <x:c r="I143" s="30"/>
      <x:c r="J143" s="30"/>
      <x:c r="K143" s="30"/>
      <x:c r="L143" s="30"/>
      <x:c r="M143" s="30"/>
    </x:row>
    <x:row r="144" ht="15.75" customHeight="1">
      <x:c r="A144" s="37"/>
      <x:c r="B144" s="6"/>
      <x:c r="F144" s="30" t="str">
        <x:f t="array" ref="F144">IF($B144="","",_xlfn.XLOOKUP($B144,Metric_Dictionary!$A:$A,Metric_Dictionary!$B:$I,""))</x:f>
      </x:c>
      <x:c r="G144" s="30"/>
      <x:c r="H144" s="30"/>
      <x:c r="I144" s="30"/>
      <x:c r="J144" s="30"/>
      <x:c r="K144" s="30"/>
      <x:c r="L144" s="30"/>
      <x:c r="M144" s="30"/>
    </x:row>
    <x:row r="145" ht="15.75" customHeight="1">
      <x:c r="A145" s="37"/>
      <x:c r="B145" s="6"/>
      <x:c r="F145" s="30" t="str">
        <x:f t="array" ref="F145">IF($B145="","",_xlfn.XLOOKUP($B145,Metric_Dictionary!$A:$A,Metric_Dictionary!$B:$I,""))</x:f>
      </x:c>
      <x:c r="G145" s="30"/>
      <x:c r="H145" s="30"/>
      <x:c r="I145" s="30"/>
      <x:c r="J145" s="30"/>
      <x:c r="K145" s="30"/>
      <x:c r="L145" s="30"/>
      <x:c r="M145" s="30"/>
    </x:row>
    <x:row r="146" ht="15.75" customHeight="1">
      <x:c r="A146" s="37"/>
      <x:c r="B146" s="6"/>
      <x:c r="F146" s="30" t="str">
        <x:f t="array" ref="F146">IF($B146="","",_xlfn.XLOOKUP($B146,Metric_Dictionary!$A:$A,Metric_Dictionary!$B:$I,""))</x:f>
      </x:c>
      <x:c r="G146" s="30"/>
      <x:c r="H146" s="30"/>
      <x:c r="I146" s="30"/>
      <x:c r="J146" s="30"/>
      <x:c r="K146" s="30"/>
      <x:c r="L146" s="30"/>
      <x:c r="M146" s="30"/>
    </x:row>
    <x:row r="147" ht="15.75" customHeight="1">
      <x:c r="A147" s="37"/>
      <x:c r="B147" s="6"/>
      <x:c r="F147" s="30" t="str">
        <x:f t="array" ref="F147">IF($B147="","",_xlfn.XLOOKUP($B147,Metric_Dictionary!$A:$A,Metric_Dictionary!$B:$I,""))</x:f>
      </x:c>
      <x:c r="G147" s="30"/>
      <x:c r="H147" s="30"/>
      <x:c r="I147" s="30"/>
      <x:c r="J147" s="30"/>
      <x:c r="K147" s="30"/>
      <x:c r="L147" s="30"/>
      <x:c r="M147" s="30"/>
    </x:row>
    <x:row r="148" ht="15.75" customHeight="1">
      <x:c r="A148" s="37"/>
      <x:c r="B148" s="6"/>
      <x:c r="F148" s="30" t="str">
        <x:f t="array" ref="F148">IF($B148="","",_xlfn.XLOOKUP($B148,Metric_Dictionary!$A:$A,Metric_Dictionary!$B:$I,""))</x:f>
      </x:c>
      <x:c r="G148" s="30"/>
      <x:c r="H148" s="30"/>
      <x:c r="I148" s="30"/>
      <x:c r="J148" s="30"/>
      <x:c r="K148" s="30"/>
      <x:c r="L148" s="30"/>
      <x:c r="M148" s="30"/>
    </x:row>
    <x:row r="149" ht="15.75" customHeight="1">
      <x:c r="A149" s="37"/>
      <x:c r="B149" s="6"/>
      <x:c r="F149" s="30" t="str">
        <x:f t="array" ref="F149">IF($B149="","",_xlfn.XLOOKUP($B149,Metric_Dictionary!$A:$A,Metric_Dictionary!$B:$I,""))</x:f>
      </x:c>
      <x:c r="G149" s="30"/>
      <x:c r="H149" s="30"/>
      <x:c r="I149" s="30"/>
      <x:c r="J149" s="30"/>
      <x:c r="K149" s="30"/>
      <x:c r="L149" s="30"/>
      <x:c r="M149" s="30"/>
    </x:row>
    <x:row r="150" ht="15.75" customHeight="1">
      <x:c r="A150" s="37"/>
      <x:c r="B150" s="6"/>
      <x:c r="F150" s="30" t="str">
        <x:f t="array" ref="F150">IF($B150="","",_xlfn.XLOOKUP($B150,Metric_Dictionary!$A:$A,Metric_Dictionary!$B:$I,""))</x:f>
      </x:c>
      <x:c r="G150" s="30"/>
      <x:c r="H150" s="30"/>
      <x:c r="I150" s="30"/>
      <x:c r="J150" s="30"/>
      <x:c r="K150" s="30"/>
      <x:c r="L150" s="30"/>
      <x:c r="M150" s="30"/>
    </x:row>
    <x:row r="151" ht="15.75" customHeight="1">
      <x:c r="A151" s="37"/>
      <x:c r="B151" s="6"/>
      <x:c r="F151" s="30" t="str">
        <x:f t="array" ref="F151">IF($B151="","",_xlfn.XLOOKUP($B151,Metric_Dictionary!$A:$A,Metric_Dictionary!$B:$I,""))</x:f>
      </x:c>
      <x:c r="G151" s="30"/>
      <x:c r="H151" s="30"/>
      <x:c r="I151" s="30"/>
      <x:c r="J151" s="30"/>
      <x:c r="K151" s="30"/>
      <x:c r="L151" s="30"/>
      <x:c r="M151" s="30"/>
    </x:row>
    <x:row r="152" ht="15.75" customHeight="1">
      <x:c r="A152" s="37"/>
      <x:c r="B152" s="6"/>
      <x:c r="F152" s="30" t="str">
        <x:f t="array" ref="F152">IF($B152="","",_xlfn.XLOOKUP($B152,Metric_Dictionary!$A:$A,Metric_Dictionary!$B:$I,""))</x:f>
      </x:c>
      <x:c r="G152" s="30"/>
      <x:c r="H152" s="30"/>
      <x:c r="I152" s="30"/>
      <x:c r="J152" s="30"/>
      <x:c r="K152" s="30"/>
      <x:c r="L152" s="30"/>
      <x:c r="M152" s="30"/>
    </x:row>
    <x:row r="153" ht="15.75" customHeight="1">
      <x:c r="A153" s="37"/>
      <x:c r="B153" s="6"/>
      <x:c r="F153" s="30" t="str">
        <x:f t="array" ref="F153">IF($B153="","",_xlfn.XLOOKUP($B153,Metric_Dictionary!$A:$A,Metric_Dictionary!$B:$I,""))</x:f>
      </x:c>
      <x:c r="G153" s="30"/>
      <x:c r="H153" s="30"/>
      <x:c r="I153" s="30"/>
      <x:c r="J153" s="30"/>
      <x:c r="K153" s="30"/>
      <x:c r="L153" s="30"/>
      <x:c r="M153" s="30"/>
    </x:row>
    <x:row r="154" ht="15.75" customHeight="1">
      <x:c r="A154" s="37"/>
      <x:c r="B154" s="6"/>
      <x:c r="F154" s="30" t="str">
        <x:f t="array" ref="F154">IF($B154="","",_xlfn.XLOOKUP($B154,Metric_Dictionary!$A:$A,Metric_Dictionary!$B:$I,""))</x:f>
      </x:c>
      <x:c r="G154" s="30"/>
      <x:c r="H154" s="30"/>
      <x:c r="I154" s="30"/>
      <x:c r="J154" s="30"/>
      <x:c r="K154" s="30"/>
      <x:c r="L154" s="30"/>
      <x:c r="M154" s="30"/>
    </x:row>
    <x:row r="155" ht="15.75" customHeight="1">
      <x:c r="A155" s="37"/>
      <x:c r="B155" s="6"/>
      <x:c r="F155" s="30" t="str">
        <x:f t="array" ref="F155">IF($B155="","",_xlfn.XLOOKUP($B155,Metric_Dictionary!$A:$A,Metric_Dictionary!$B:$I,""))</x:f>
      </x:c>
      <x:c r="G155" s="30"/>
      <x:c r="H155" s="30"/>
      <x:c r="I155" s="30"/>
      <x:c r="J155" s="30"/>
      <x:c r="K155" s="30"/>
      <x:c r="L155" s="30"/>
      <x:c r="M155" s="30"/>
    </x:row>
    <x:row r="156" ht="15.75" customHeight="1">
      <x:c r="A156" s="37"/>
      <x:c r="B156" s="6"/>
      <x:c r="F156" s="30" t="str">
        <x:f t="array" ref="F156">IF($B156="","",_xlfn.XLOOKUP($B156,Metric_Dictionary!$A:$A,Metric_Dictionary!$B:$I,""))</x:f>
      </x:c>
      <x:c r="G156" s="30"/>
      <x:c r="H156" s="30"/>
      <x:c r="I156" s="30"/>
      <x:c r="J156" s="30"/>
      <x:c r="K156" s="30"/>
      <x:c r="L156" s="30"/>
      <x:c r="M156" s="30"/>
    </x:row>
    <x:row r="157" ht="15.75" customHeight="1">
      <x:c r="A157" s="37"/>
      <x:c r="B157" s="6"/>
      <x:c r="F157" s="30" t="str">
        <x:f t="array" ref="F157">IF($B157="","",_xlfn.XLOOKUP($B157,Metric_Dictionary!$A:$A,Metric_Dictionary!$B:$I,""))</x:f>
      </x:c>
      <x:c r="G157" s="30"/>
      <x:c r="H157" s="30"/>
      <x:c r="I157" s="30"/>
      <x:c r="J157" s="30"/>
      <x:c r="K157" s="30"/>
      <x:c r="L157" s="30"/>
      <x:c r="M157" s="30"/>
    </x:row>
    <x:row r="158" ht="15.75" customHeight="1">
      <x:c r="A158" s="37"/>
      <x:c r="B158" s="6"/>
      <x:c r="F158" s="30" t="str">
        <x:f t="array" ref="F158">IF($B158="","",_xlfn.XLOOKUP($B158,Metric_Dictionary!$A:$A,Metric_Dictionary!$B:$I,""))</x:f>
      </x:c>
      <x:c r="G158" s="30"/>
      <x:c r="H158" s="30"/>
      <x:c r="I158" s="30"/>
      <x:c r="J158" s="30"/>
      <x:c r="K158" s="30"/>
      <x:c r="L158" s="30"/>
      <x:c r="M158" s="30"/>
    </x:row>
    <x:row r="159" ht="15.75" customHeight="1">
      <x:c r="A159" s="37"/>
      <x:c r="B159" s="6"/>
      <x:c r="F159" s="30" t="str">
        <x:f t="array" ref="F159">IF($B159="","",_xlfn.XLOOKUP($B159,Metric_Dictionary!$A:$A,Metric_Dictionary!$B:$I,""))</x:f>
      </x:c>
      <x:c r="G159" s="30"/>
      <x:c r="H159" s="30"/>
      <x:c r="I159" s="30"/>
      <x:c r="J159" s="30"/>
      <x:c r="K159" s="30"/>
      <x:c r="L159" s="30"/>
      <x:c r="M159" s="30"/>
    </x:row>
    <x:row r="160" ht="15.75" customHeight="1">
      <x:c r="A160" s="37"/>
      <x:c r="B160" s="6"/>
      <x:c r="F160" s="30" t="str">
        <x:f t="array" ref="F160">IF($B160="","",_xlfn.XLOOKUP($B160,Metric_Dictionary!$A:$A,Metric_Dictionary!$B:$I,""))</x:f>
      </x:c>
      <x:c r="G160" s="30"/>
      <x:c r="H160" s="30"/>
      <x:c r="I160" s="30"/>
      <x:c r="J160" s="30"/>
      <x:c r="K160" s="30"/>
      <x:c r="L160" s="30"/>
      <x:c r="M160" s="30"/>
    </x:row>
    <x:row r="161" ht="15.75" customHeight="1">
      <x:c r="A161" s="37"/>
      <x:c r="B161" s="6"/>
      <x:c r="F161" s="30"/>
      <x:c r="G161" s="30"/>
      <x:c r="H161" s="30"/>
      <x:c r="I161" s="30"/>
      <x:c r="J161" s="30"/>
      <x:c r="K161" s="30"/>
      <x:c r="L161" s="30"/>
      <x:c r="M161" s="30"/>
    </x:row>
    <x:row r="162" ht="15.75" customHeight="1">
      <x:c r="A162" s="37"/>
      <x:c r="B162" s="6"/>
      <x:c r="F162" s="30"/>
      <x:c r="G162" s="30"/>
      <x:c r="H162" s="30"/>
      <x:c r="I162" s="30"/>
      <x:c r="J162" s="30"/>
      <x:c r="K162" s="30"/>
      <x:c r="L162" s="30"/>
      <x:c r="M162" s="30"/>
    </x:row>
    <x:row r="163" ht="15.75" customHeight="1">
      <x:c r="A163" s="37"/>
      <x:c r="B163" s="6"/>
      <x:c r="F163" s="30"/>
      <x:c r="G163" s="30"/>
      <x:c r="H163" s="30"/>
      <x:c r="I163" s="30"/>
      <x:c r="J163" s="30"/>
      <x:c r="K163" s="30"/>
      <x:c r="L163" s="30"/>
      <x:c r="M163" s="30"/>
    </x:row>
    <x:row r="164" ht="15.75" customHeight="1">
      <x:c r="A164" s="37"/>
      <x:c r="B164" s="6"/>
      <x:c r="F164" s="30"/>
      <x:c r="G164" s="30"/>
      <x:c r="H164" s="30"/>
      <x:c r="I164" s="30"/>
      <x:c r="J164" s="30"/>
      <x:c r="K164" s="30"/>
      <x:c r="L164" s="30"/>
      <x:c r="M164" s="30"/>
    </x:row>
    <x:row r="165" ht="15.75" customHeight="1">
      <x:c r="A165" s="37"/>
      <x:c r="B165" s="6"/>
      <x:c r="F165" s="30"/>
      <x:c r="G165" s="30"/>
      <x:c r="H165" s="30"/>
      <x:c r="I165" s="30"/>
      <x:c r="J165" s="30"/>
      <x:c r="K165" s="30"/>
      <x:c r="L165" s="30"/>
      <x:c r="M165" s="30"/>
    </x:row>
    <x:row r="166" ht="15.75" customHeight="1">
      <x:c r="A166" s="37"/>
      <x:c r="B166" s="6"/>
      <x:c r="F166" s="30"/>
      <x:c r="G166" s="30"/>
      <x:c r="H166" s="30"/>
      <x:c r="I166" s="30"/>
      <x:c r="J166" s="30"/>
      <x:c r="K166" s="30"/>
      <x:c r="L166" s="30"/>
      <x:c r="M166" s="30"/>
    </x:row>
    <x:row r="167" ht="15.75" customHeight="1">
      <x:c r="A167" s="37"/>
      <x:c r="B167" s="6"/>
      <x:c r="F167" s="30"/>
      <x:c r="G167" s="30"/>
      <x:c r="H167" s="30"/>
      <x:c r="I167" s="30"/>
      <x:c r="J167" s="30"/>
      <x:c r="K167" s="30"/>
      <x:c r="L167" s="30"/>
      <x:c r="M167" s="30"/>
    </x:row>
    <x:row r="168" ht="15.75" customHeight="1">
      <x:c r="A168" s="37"/>
      <x:c r="B168" s="6"/>
      <x:c r="F168" s="30"/>
      <x:c r="G168" s="30"/>
      <x:c r="H168" s="30"/>
      <x:c r="I168" s="30"/>
      <x:c r="J168" s="30"/>
      <x:c r="K168" s="30"/>
      <x:c r="L168" s="30"/>
      <x:c r="M168" s="30"/>
    </x:row>
    <x:row r="169" ht="15.75" customHeight="1">
      <x:c r="A169" s="37"/>
      <x:c r="B169" s="6"/>
      <x:c r="F169" s="30"/>
      <x:c r="G169" s="30"/>
      <x:c r="H169" s="30"/>
      <x:c r="I169" s="30"/>
      <x:c r="J169" s="30"/>
      <x:c r="K169" s="30"/>
      <x:c r="L169" s="30"/>
      <x:c r="M169" s="30"/>
    </x:row>
    <x:row r="170" ht="15.75" customHeight="1">
      <x:c r="A170" s="37"/>
      <x:c r="B170" s="6"/>
      <x:c r="F170" s="30"/>
      <x:c r="G170" s="30"/>
      <x:c r="H170" s="30"/>
      <x:c r="I170" s="30"/>
      <x:c r="J170" s="30"/>
      <x:c r="K170" s="30"/>
      <x:c r="L170" s="30"/>
      <x:c r="M170" s="30"/>
    </x:row>
    <x:row r="171" ht="15.75" customHeight="1">
      <x:c r="A171" s="37"/>
      <x:c r="B171" s="6"/>
      <x:c r="F171" s="30"/>
      <x:c r="G171" s="30"/>
      <x:c r="H171" s="30"/>
      <x:c r="I171" s="30"/>
      <x:c r="J171" s="30"/>
      <x:c r="K171" s="30"/>
      <x:c r="L171" s="30"/>
      <x:c r="M171" s="30"/>
    </x:row>
    <x:row r="172" ht="15.75" customHeight="1">
      <x:c r="A172" s="37"/>
      <x:c r="B172" s="6"/>
      <x:c r="F172" s="30"/>
      <x:c r="G172" s="30"/>
      <x:c r="H172" s="30"/>
      <x:c r="I172" s="30"/>
      <x:c r="J172" s="30"/>
      <x:c r="K172" s="30"/>
      <x:c r="L172" s="30"/>
      <x:c r="M172" s="30"/>
    </x:row>
    <x:row r="173" ht="15.75" customHeight="1">
      <x:c r="A173" s="37"/>
      <x:c r="B173" s="6"/>
      <x:c r="F173" s="30"/>
      <x:c r="G173" s="30"/>
      <x:c r="H173" s="30"/>
      <x:c r="I173" s="30"/>
      <x:c r="J173" s="30"/>
      <x:c r="K173" s="30"/>
      <x:c r="L173" s="30"/>
      <x:c r="M173" s="30"/>
    </x:row>
    <x:row r="174" ht="15.75" customHeight="1">
      <x:c r="A174" s="37"/>
      <x:c r="B174" s="6"/>
      <x:c r="F174" s="30"/>
      <x:c r="G174" s="30"/>
      <x:c r="H174" s="30"/>
      <x:c r="I174" s="30"/>
      <x:c r="J174" s="30"/>
      <x:c r="K174" s="30"/>
      <x:c r="L174" s="30"/>
      <x:c r="M174" s="30"/>
    </x:row>
    <x:row r="175" ht="15.75" customHeight="1">
      <x:c r="A175" s="37"/>
      <x:c r="B175" s="6"/>
      <x:c r="F175" s="30"/>
      <x:c r="G175" s="30"/>
      <x:c r="H175" s="30"/>
      <x:c r="I175" s="30"/>
      <x:c r="J175" s="30"/>
      <x:c r="K175" s="30"/>
      <x:c r="L175" s="30"/>
      <x:c r="M175" s="30"/>
    </x:row>
    <x:row r="176" ht="15.75" customHeight="1">
      <x:c r="A176" s="37"/>
      <x:c r="B176" s="6"/>
      <x:c r="F176" s="30"/>
      <x:c r="G176" s="30"/>
      <x:c r="H176" s="30"/>
      <x:c r="I176" s="30"/>
      <x:c r="J176" s="30"/>
      <x:c r="K176" s="30"/>
      <x:c r="L176" s="30"/>
      <x:c r="M176" s="30"/>
    </x:row>
    <x:row r="177" ht="15.75" customHeight="1">
      <x:c r="A177" s="37"/>
      <x:c r="B177" s="6"/>
      <x:c r="F177" s="30"/>
      <x:c r="G177" s="30"/>
      <x:c r="H177" s="30"/>
      <x:c r="I177" s="30"/>
      <x:c r="J177" s="30"/>
      <x:c r="K177" s="30"/>
      <x:c r="L177" s="30"/>
      <x:c r="M177" s="30"/>
    </x:row>
    <x:row r="178" ht="15.75" customHeight="1">
      <x:c r="A178" s="37"/>
      <x:c r="B178" s="6"/>
      <x:c r="F178" s="30"/>
      <x:c r="G178" s="30"/>
      <x:c r="H178" s="30"/>
      <x:c r="I178" s="30"/>
      <x:c r="J178" s="30"/>
      <x:c r="K178" s="30"/>
      <x:c r="L178" s="30"/>
      <x:c r="M178" s="30"/>
    </x:row>
    <x:row r="179" ht="15.75" customHeight="1">
      <x:c r="A179" s="37"/>
      <x:c r="B179" s="6"/>
      <x:c r="F179" s="30"/>
      <x:c r="G179" s="30"/>
      <x:c r="H179" s="30"/>
      <x:c r="I179" s="30"/>
      <x:c r="J179" s="30"/>
      <x:c r="K179" s="30"/>
      <x:c r="L179" s="30"/>
      <x:c r="M179" s="30"/>
    </x:row>
    <x:row r="180" ht="15.75" customHeight="1">
      <x:c r="A180" s="37"/>
      <x:c r="B180" s="6"/>
      <x:c r="F180" s="30"/>
      <x:c r="G180" s="30"/>
      <x:c r="H180" s="30"/>
      <x:c r="I180" s="30"/>
      <x:c r="J180" s="30"/>
      <x:c r="K180" s="30"/>
      <x:c r="L180" s="30"/>
      <x:c r="M180" s="30"/>
    </x:row>
    <x:row r="181" ht="15.75" customHeight="1">
      <x:c r="A181" s="37"/>
      <x:c r="B181" s="6"/>
      <x:c r="F181" s="30"/>
      <x:c r="G181" s="30"/>
      <x:c r="H181" s="30"/>
      <x:c r="I181" s="30"/>
      <x:c r="J181" s="30"/>
      <x:c r="K181" s="30"/>
      <x:c r="L181" s="30"/>
      <x:c r="M181" s="30"/>
    </x:row>
    <x:row r="182" ht="15.75" customHeight="1">
      <x:c r="A182" s="37"/>
      <x:c r="B182" s="6"/>
      <x:c r="F182" s="30"/>
      <x:c r="G182" s="30"/>
      <x:c r="H182" s="30"/>
      <x:c r="I182" s="30"/>
      <x:c r="J182" s="30"/>
      <x:c r="K182" s="30"/>
      <x:c r="L182" s="30"/>
      <x:c r="M182" s="30"/>
    </x:row>
    <x:row r="183" ht="15.75" customHeight="1">
      <x:c r="A183" s="37"/>
      <x:c r="B183" s="6"/>
      <x:c r="F183" s="30"/>
      <x:c r="G183" s="30"/>
      <x:c r="H183" s="30"/>
      <x:c r="I183" s="30"/>
      <x:c r="J183" s="30"/>
      <x:c r="K183" s="30"/>
      <x:c r="L183" s="30"/>
      <x:c r="M183" s="30"/>
    </x:row>
    <x:row r="184" ht="15.75" customHeight="1">
      <x:c r="A184" s="37"/>
      <x:c r="B184" s="6"/>
      <x:c r="F184" s="30"/>
      <x:c r="G184" s="30"/>
      <x:c r="H184" s="30"/>
      <x:c r="I184" s="30"/>
      <x:c r="J184" s="30"/>
      <x:c r="K184" s="30"/>
      <x:c r="L184" s="30"/>
      <x:c r="M184" s="30"/>
    </x:row>
    <x:row r="185" ht="15.75" customHeight="1">
      <x:c r="A185" s="37"/>
      <x:c r="B185" s="6"/>
      <x:c r="F185" s="30"/>
      <x:c r="G185" s="30"/>
      <x:c r="H185" s="30"/>
      <x:c r="I185" s="30"/>
      <x:c r="J185" s="30"/>
      <x:c r="K185" s="30"/>
      <x:c r="L185" s="30"/>
      <x:c r="M185" s="30"/>
    </x:row>
    <x:row r="186" ht="15.75" customHeight="1">
      <x:c r="A186" s="37"/>
      <x:c r="B186" s="6"/>
      <x:c r="F186" s="30"/>
      <x:c r="G186" s="30"/>
      <x:c r="H186" s="30"/>
      <x:c r="I186" s="30"/>
      <x:c r="J186" s="30"/>
      <x:c r="K186" s="30"/>
      <x:c r="L186" s="30"/>
      <x:c r="M186" s="30"/>
    </x:row>
    <x:row r="187" ht="15.75" customHeight="1">
      <x:c r="A187" s="37"/>
      <x:c r="B187" s="6"/>
      <x:c r="F187" s="30"/>
      <x:c r="G187" s="30"/>
      <x:c r="H187" s="30"/>
      <x:c r="I187" s="30"/>
      <x:c r="J187" s="30"/>
      <x:c r="K187" s="30"/>
      <x:c r="L187" s="30"/>
      <x:c r="M187" s="30"/>
    </x:row>
    <x:row r="188" ht="15.75" customHeight="1">
      <x:c r="A188" s="37"/>
      <x:c r="B188" s="6"/>
      <x:c r="F188" s="30"/>
      <x:c r="G188" s="30"/>
      <x:c r="H188" s="30"/>
      <x:c r="I188" s="30"/>
      <x:c r="J188" s="30"/>
      <x:c r="K188" s="30"/>
      <x:c r="L188" s="30"/>
      <x:c r="M188" s="30"/>
    </x:row>
    <x:row r="189" ht="15.75" customHeight="1">
      <x:c r="A189" s="37"/>
      <x:c r="B189" s="6"/>
      <x:c r="F189" s="30"/>
      <x:c r="G189" s="30"/>
      <x:c r="H189" s="30"/>
      <x:c r="I189" s="30"/>
      <x:c r="J189" s="30"/>
      <x:c r="K189" s="30"/>
      <x:c r="L189" s="30"/>
      <x:c r="M189" s="30"/>
    </x:row>
    <x:row r="190" ht="15.75" customHeight="1">
      <x:c r="A190" s="37"/>
      <x:c r="B190" s="6"/>
      <x:c r="F190" s="30"/>
      <x:c r="G190" s="30"/>
      <x:c r="H190" s="30"/>
      <x:c r="I190" s="30"/>
      <x:c r="J190" s="30"/>
      <x:c r="K190" s="30"/>
      <x:c r="L190" s="30"/>
      <x:c r="M190" s="30"/>
    </x:row>
    <x:row r="191" ht="15.75" customHeight="1">
      <x:c r="A191" s="37"/>
      <x:c r="B191" s="6"/>
      <x:c r="F191" s="30"/>
      <x:c r="G191" s="30"/>
      <x:c r="H191" s="30"/>
      <x:c r="I191" s="30"/>
      <x:c r="J191" s="30"/>
      <x:c r="K191" s="30"/>
      <x:c r="L191" s="30"/>
      <x:c r="M191" s="30"/>
    </x:row>
    <x:row r="192" ht="15.75" customHeight="1">
      <x:c r="A192" s="37"/>
      <x:c r="B192" s="6"/>
      <x:c r="F192" s="30"/>
      <x:c r="G192" s="30"/>
      <x:c r="H192" s="30"/>
      <x:c r="I192" s="30"/>
      <x:c r="J192" s="30"/>
      <x:c r="K192" s="30"/>
      <x:c r="L192" s="30"/>
      <x:c r="M192" s="30"/>
    </x:row>
    <x:row r="193" ht="15.75" customHeight="1">
      <x:c r="A193" s="37"/>
      <x:c r="B193" s="6"/>
      <x:c r="F193" s="30"/>
      <x:c r="G193" s="30"/>
      <x:c r="H193" s="30"/>
      <x:c r="I193" s="30"/>
      <x:c r="J193" s="30"/>
      <x:c r="K193" s="30"/>
      <x:c r="L193" s="30"/>
      <x:c r="M193" s="30"/>
    </x:row>
    <x:row r="194" ht="15.75" customHeight="1">
      <x:c r="A194" s="37"/>
      <x:c r="B194" s="6"/>
      <x:c r="F194" s="30"/>
      <x:c r="G194" s="30"/>
      <x:c r="H194" s="30"/>
      <x:c r="I194" s="30"/>
      <x:c r="J194" s="30"/>
      <x:c r="K194" s="30"/>
      <x:c r="L194" s="30"/>
      <x:c r="M194" s="30"/>
    </x:row>
    <x:row r="195" ht="15.75" customHeight="1">
      <x:c r="A195" s="37"/>
      <x:c r="B195" s="6"/>
      <x:c r="F195" s="30"/>
      <x:c r="G195" s="30"/>
      <x:c r="H195" s="30"/>
      <x:c r="I195" s="30"/>
      <x:c r="J195" s="30"/>
      <x:c r="K195" s="30"/>
      <x:c r="L195" s="30"/>
      <x:c r="M195" s="30"/>
    </x:row>
    <x:row r="196" ht="15.75" customHeight="1">
      <x:c r="A196" s="37"/>
      <x:c r="B196" s="6"/>
      <x:c r="F196" s="30"/>
      <x:c r="G196" s="30"/>
      <x:c r="H196" s="30"/>
      <x:c r="I196" s="30"/>
      <x:c r="J196" s="30"/>
      <x:c r="K196" s="30"/>
      <x:c r="L196" s="30"/>
      <x:c r="M196" s="30"/>
    </x:row>
    <x:row r="197" ht="15.75" customHeight="1">
      <x:c r="A197" s="37"/>
      <x:c r="B197" s="6"/>
      <x:c r="F197" s="30"/>
      <x:c r="G197" s="30"/>
      <x:c r="H197" s="30"/>
      <x:c r="I197" s="30"/>
      <x:c r="J197" s="30"/>
      <x:c r="K197" s="30"/>
      <x:c r="L197" s="30"/>
      <x:c r="M197" s="30"/>
    </x:row>
    <x:row r="198" ht="15.75" customHeight="1">
      <x:c r="A198" s="37"/>
      <x:c r="B198" s="6"/>
      <x:c r="F198" s="30"/>
      <x:c r="G198" s="30"/>
      <x:c r="H198" s="30"/>
      <x:c r="I198" s="30"/>
      <x:c r="J198" s="30"/>
      <x:c r="K198" s="30"/>
      <x:c r="L198" s="30"/>
      <x:c r="M198" s="30"/>
    </x:row>
    <x:row r="199" ht="15.75" customHeight="1">
      <x:c r="A199" s="37"/>
      <x:c r="B199" s="6"/>
      <x:c r="F199" s="30"/>
      <x:c r="G199" s="30"/>
      <x:c r="H199" s="30"/>
      <x:c r="I199" s="30"/>
      <x:c r="J199" s="30"/>
      <x:c r="K199" s="30"/>
      <x:c r="L199" s="30"/>
      <x:c r="M199" s="30"/>
    </x:row>
    <x:row r="200" ht="15.75" customHeight="1">
      <x:c r="A200" s="37"/>
      <x:c r="B200" s="6"/>
      <x:c r="F200" s="30"/>
      <x:c r="G200" s="30"/>
      <x:c r="H200" s="30"/>
      <x:c r="I200" s="30"/>
      <x:c r="J200" s="30"/>
      <x:c r="K200" s="30"/>
      <x:c r="L200" s="30"/>
      <x:c r="M200" s="30"/>
    </x:row>
    <x:row r="201" ht="15.75" customHeight="1">
      <x:c r="A201" s="37"/>
      <x:c r="B201" s="6"/>
      <x:c r="F201" s="30"/>
      <x:c r="G201" s="30"/>
      <x:c r="H201" s="30"/>
      <x:c r="I201" s="30"/>
      <x:c r="J201" s="30"/>
      <x:c r="K201" s="30"/>
      <x:c r="L201" s="30"/>
      <x:c r="M201" s="30"/>
    </x:row>
    <x:row r="202" ht="15.75" customHeight="1">
      <x:c r="A202" s="37"/>
      <x:c r="B202" s="6"/>
      <x:c r="F202" s="30"/>
      <x:c r="G202" s="30"/>
      <x:c r="H202" s="30"/>
      <x:c r="I202" s="30"/>
      <x:c r="J202" s="30"/>
      <x:c r="K202" s="30"/>
      <x:c r="L202" s="30"/>
      <x:c r="M202" s="30"/>
    </x:row>
    <x:row r="203" ht="15.75" customHeight="1">
      <x:c r="A203" s="37"/>
      <x:c r="B203" s="6"/>
      <x:c r="F203" s="30"/>
      <x:c r="G203" s="30"/>
      <x:c r="H203" s="30"/>
      <x:c r="I203" s="30"/>
      <x:c r="J203" s="30"/>
      <x:c r="K203" s="30"/>
      <x:c r="L203" s="30"/>
      <x:c r="M203" s="30"/>
    </x:row>
    <x:row r="204" ht="15.75" customHeight="1">
      <x:c r="A204" s="37"/>
      <x:c r="B204" s="6"/>
      <x:c r="F204" s="30"/>
      <x:c r="G204" s="30"/>
      <x:c r="H204" s="30"/>
      <x:c r="I204" s="30"/>
      <x:c r="J204" s="30"/>
      <x:c r="K204" s="30"/>
      <x:c r="L204" s="30"/>
      <x:c r="M204" s="30"/>
    </x:row>
    <x:row r="205" ht="15.75" customHeight="1">
      <x:c r="A205" s="37"/>
      <x:c r="B205" s="6"/>
      <x:c r="F205" s="30"/>
      <x:c r="G205" s="30"/>
      <x:c r="H205" s="30"/>
      <x:c r="I205" s="30"/>
      <x:c r="J205" s="30"/>
      <x:c r="K205" s="30"/>
      <x:c r="L205" s="30"/>
      <x:c r="M205" s="30"/>
    </x:row>
    <x:row r="206" ht="15.75" customHeight="1">
      <x:c r="A206" s="37"/>
      <x:c r="B206" s="6"/>
      <x:c r="F206" s="30"/>
      <x:c r="G206" s="30"/>
      <x:c r="H206" s="30"/>
      <x:c r="I206" s="30"/>
      <x:c r="J206" s="30"/>
      <x:c r="K206" s="30"/>
      <x:c r="L206" s="30"/>
      <x:c r="M206" s="30"/>
    </x:row>
    <x:row r="207" ht="15.75" customHeight="1">
      <x:c r="A207" s="37"/>
      <x:c r="B207" s="6"/>
      <x:c r="F207" s="30"/>
      <x:c r="G207" s="30"/>
      <x:c r="H207" s="30"/>
      <x:c r="I207" s="30"/>
      <x:c r="J207" s="30"/>
      <x:c r="K207" s="30"/>
      <x:c r="L207" s="30"/>
      <x:c r="M207" s="30"/>
    </x:row>
    <x:row r="208" ht="15.75" customHeight="1">
      <x:c r="A208" s="37"/>
      <x:c r="B208" s="6"/>
      <x:c r="F208" s="30"/>
      <x:c r="G208" s="30"/>
      <x:c r="H208" s="30"/>
      <x:c r="I208" s="30"/>
      <x:c r="J208" s="30"/>
      <x:c r="K208" s="30"/>
      <x:c r="L208" s="30"/>
      <x:c r="M208" s="30"/>
    </x:row>
    <x:row r="209" ht="15.75" customHeight="1">
      <x:c r="A209" s="37"/>
      <x:c r="B209" s="6"/>
      <x:c r="F209" s="30"/>
      <x:c r="G209" s="30"/>
      <x:c r="H209" s="30"/>
      <x:c r="I209" s="30"/>
      <x:c r="J209" s="30"/>
      <x:c r="K209" s="30"/>
      <x:c r="L209" s="30"/>
      <x:c r="M209" s="30"/>
    </x:row>
    <x:row r="210" ht="15.75" customHeight="1">
      <x:c r="A210" s="37"/>
      <x:c r="B210" s="6"/>
      <x:c r="F210" s="30"/>
      <x:c r="G210" s="30"/>
      <x:c r="H210" s="30"/>
      <x:c r="I210" s="30"/>
      <x:c r="J210" s="30"/>
      <x:c r="K210" s="30"/>
      <x:c r="L210" s="30"/>
      <x:c r="M210" s="30"/>
    </x:row>
    <x:row r="211" ht="15.75" customHeight="1">
      <x:c r="A211" s="37"/>
      <x:c r="B211" s="6"/>
      <x:c r="F211" s="30"/>
      <x:c r="G211" s="30"/>
      <x:c r="H211" s="30"/>
      <x:c r="I211" s="30"/>
      <x:c r="J211" s="30"/>
      <x:c r="K211" s="30"/>
      <x:c r="L211" s="30"/>
      <x:c r="M211" s="30"/>
    </x:row>
    <x:row r="212" ht="15.75" customHeight="1">
      <x:c r="A212" s="37"/>
      <x:c r="B212" s="6"/>
      <x:c r="F212" s="30"/>
      <x:c r="G212" s="30"/>
      <x:c r="H212" s="30"/>
      <x:c r="I212" s="30"/>
      <x:c r="J212" s="30"/>
      <x:c r="K212" s="30"/>
      <x:c r="L212" s="30"/>
      <x:c r="M212" s="30"/>
    </x:row>
    <x:row r="213" ht="15.75" customHeight="1">
      <x:c r="A213" s="37"/>
      <x:c r="B213" s="6"/>
      <x:c r="F213" s="30"/>
      <x:c r="G213" s="30"/>
      <x:c r="H213" s="30"/>
      <x:c r="I213" s="30"/>
      <x:c r="J213" s="30"/>
      <x:c r="K213" s="30"/>
      <x:c r="L213" s="30"/>
      <x:c r="M213" s="30"/>
    </x:row>
    <x:row r="214" ht="15.75" customHeight="1">
      <x:c r="A214" s="37"/>
      <x:c r="B214" s="6"/>
      <x:c r="F214" s="30"/>
      <x:c r="G214" s="30"/>
      <x:c r="H214" s="30"/>
      <x:c r="I214" s="30"/>
      <x:c r="J214" s="30"/>
      <x:c r="K214" s="30"/>
      <x:c r="L214" s="30"/>
      <x:c r="M214" s="30"/>
    </x:row>
    <x:row r="215" ht="15.75" customHeight="1">
      <x:c r="A215" s="37"/>
      <x:c r="B215" s="6"/>
      <x:c r="F215" s="30"/>
      <x:c r="G215" s="30"/>
      <x:c r="H215" s="30"/>
      <x:c r="I215" s="30"/>
      <x:c r="J215" s="30"/>
      <x:c r="K215" s="30"/>
      <x:c r="L215" s="30"/>
      <x:c r="M215" s="30"/>
    </x:row>
    <x:row r="216" ht="15.75" customHeight="1">
      <x:c r="A216" s="37"/>
      <x:c r="B216" s="6"/>
      <x:c r="F216" s="30"/>
      <x:c r="G216" s="30"/>
      <x:c r="H216" s="30"/>
      <x:c r="I216" s="30"/>
      <x:c r="J216" s="30"/>
      <x:c r="K216" s="30"/>
      <x:c r="L216" s="30"/>
      <x:c r="M216" s="30"/>
    </x:row>
    <x:row r="217" ht="15.75" customHeight="1">
      <x:c r="A217" s="37"/>
      <x:c r="B217" s="6"/>
      <x:c r="F217" s="30"/>
      <x:c r="G217" s="30"/>
      <x:c r="H217" s="30"/>
      <x:c r="I217" s="30"/>
      <x:c r="J217" s="30"/>
      <x:c r="K217" s="30"/>
      <x:c r="L217" s="30"/>
      <x:c r="M217" s="30"/>
    </x:row>
    <x:row r="218" ht="15.75" customHeight="1">
      <x:c r="A218" s="37"/>
      <x:c r="B218" s="6"/>
      <x:c r="F218" s="30"/>
      <x:c r="G218" s="30"/>
      <x:c r="H218" s="30"/>
      <x:c r="I218" s="30"/>
      <x:c r="J218" s="30"/>
      <x:c r="K218" s="30"/>
      <x:c r="L218" s="30"/>
      <x:c r="M218" s="30"/>
    </x:row>
    <x:row r="219" ht="15.75" customHeight="1">
      <x:c r="A219" s="37"/>
      <x:c r="B219" s="6"/>
      <x:c r="F219" s="30"/>
      <x:c r="G219" s="30"/>
      <x:c r="H219" s="30"/>
      <x:c r="I219" s="30"/>
      <x:c r="J219" s="30"/>
      <x:c r="K219" s="30"/>
      <x:c r="L219" s="30"/>
      <x:c r="M219" s="30"/>
    </x:row>
    <x:row r="220" ht="15.75" customHeight="1">
      <x:c r="A220" s="37"/>
      <x:c r="B220" s="6"/>
      <x:c r="F220" s="30"/>
      <x:c r="G220" s="30"/>
      <x:c r="H220" s="30"/>
      <x:c r="I220" s="30"/>
      <x:c r="J220" s="30"/>
      <x:c r="K220" s="30"/>
      <x:c r="L220" s="30"/>
      <x:c r="M220" s="30"/>
    </x:row>
    <x:row r="221" ht="15.75" customHeight="1">
      <x:c r="A221" s="37"/>
      <x:c r="B221" s="6"/>
      <x:c r="F221" s="30"/>
      <x:c r="G221" s="30"/>
      <x:c r="H221" s="30"/>
      <x:c r="I221" s="30"/>
      <x:c r="J221" s="30"/>
      <x:c r="K221" s="30"/>
      <x:c r="L221" s="30"/>
      <x:c r="M221" s="30"/>
    </x:row>
    <x:row r="222" ht="15.75" customHeight="1">
      <x:c r="A222" s="37"/>
      <x:c r="B222" s="6"/>
      <x:c r="F222" s="30"/>
      <x:c r="G222" s="30"/>
      <x:c r="H222" s="30"/>
      <x:c r="I222" s="30"/>
      <x:c r="J222" s="30"/>
      <x:c r="K222" s="30"/>
      <x:c r="L222" s="30"/>
      <x:c r="M222" s="30"/>
    </x:row>
    <x:row r="223" ht="15.75" customHeight="1">
      <x:c r="A223" s="37"/>
      <x:c r="B223" s="6"/>
      <x:c r="F223" s="30"/>
      <x:c r="G223" s="30"/>
      <x:c r="H223" s="30"/>
      <x:c r="I223" s="30"/>
      <x:c r="J223" s="30"/>
      <x:c r="K223" s="30"/>
      <x:c r="L223" s="30"/>
      <x:c r="M223" s="30"/>
    </x:row>
    <x:row r="224" ht="15.75" customHeight="1">
      <x:c r="A224" s="37"/>
      <x:c r="B224" s="6"/>
      <x:c r="F224" s="30"/>
      <x:c r="G224" s="30"/>
      <x:c r="H224" s="30"/>
      <x:c r="I224" s="30"/>
      <x:c r="J224" s="30"/>
      <x:c r="K224" s="30"/>
      <x:c r="L224" s="30"/>
      <x:c r="M224" s="30"/>
    </x:row>
    <x:row r="225" ht="15.75" customHeight="1">
      <x:c r="A225" s="37"/>
      <x:c r="B225" s="6"/>
      <x:c r="F225" s="30"/>
      <x:c r="G225" s="30"/>
      <x:c r="H225" s="30"/>
      <x:c r="I225" s="30"/>
      <x:c r="J225" s="30"/>
      <x:c r="K225" s="30"/>
      <x:c r="L225" s="30"/>
      <x:c r="M225" s="30"/>
    </x:row>
    <x:row r="226" ht="15.75" customHeight="1">
      <x:c r="A226" s="37"/>
      <x:c r="B226" s="6"/>
      <x:c r="F226" s="30"/>
      <x:c r="G226" s="30"/>
      <x:c r="H226" s="30"/>
      <x:c r="I226" s="30"/>
      <x:c r="J226" s="30"/>
      <x:c r="K226" s="30"/>
      <x:c r="L226" s="30"/>
      <x:c r="M226" s="30"/>
    </x:row>
    <x:row r="227" ht="15.75" customHeight="1">
      <x:c r="A227" s="37"/>
      <x:c r="B227" s="6"/>
      <x:c r="F227" s="30"/>
      <x:c r="G227" s="30"/>
      <x:c r="H227" s="30"/>
      <x:c r="I227" s="30"/>
      <x:c r="J227" s="30"/>
      <x:c r="K227" s="30"/>
      <x:c r="L227" s="30"/>
      <x:c r="M227" s="30"/>
    </x:row>
    <x:row r="228" ht="15.75" customHeight="1">
      <x:c r="A228" s="37"/>
      <x:c r="B228" s="6"/>
      <x:c r="F228" s="30"/>
      <x:c r="G228" s="30"/>
      <x:c r="H228" s="30"/>
      <x:c r="I228" s="30"/>
      <x:c r="J228" s="30"/>
      <x:c r="K228" s="30"/>
      <x:c r="L228" s="30"/>
      <x:c r="M228" s="30"/>
    </x:row>
    <x:row r="229" ht="15.75" customHeight="1">
      <x:c r="A229" s="42"/>
      <x:c r="B229" s="6"/>
      <x:c r="F229" s="30"/>
      <x:c r="G229" s="30"/>
      <x:c r="H229" s="30"/>
      <x:c r="I229" s="30"/>
      <x:c r="J229" s="30"/>
      <x:c r="K229" s="30"/>
      <x:c r="L229" s="30"/>
      <x:c r="M229" s="30"/>
    </x:row>
    <x:row r="230" ht="15.75" customHeight="1">
      <x:c r="A230" s="42"/>
      <x:c r="B230" s="6"/>
      <x:c r="F230" s="30"/>
      <x:c r="G230" s="30"/>
      <x:c r="H230" s="30"/>
      <x:c r="I230" s="30"/>
      <x:c r="J230" s="30"/>
      <x:c r="K230" s="30"/>
      <x:c r="L230" s="30"/>
      <x:c r="M230" s="30"/>
    </x:row>
    <x:row r="231" ht="15.75" customHeight="1">
      <x:c r="A231" s="42"/>
      <x:c r="B231" s="6"/>
      <x:c r="F231" s="30"/>
      <x:c r="G231" s="30"/>
      <x:c r="H231" s="30"/>
      <x:c r="I231" s="30"/>
      <x:c r="J231" s="30"/>
      <x:c r="K231" s="30"/>
      <x:c r="L231" s="30"/>
      <x:c r="M231" s="30"/>
    </x:row>
    <x:row r="232" ht="15.75" customHeight="1">
      <x:c r="A232" s="42"/>
      <x:c r="B232" s="6"/>
      <x:c r="F232" s="30"/>
      <x:c r="G232" s="30"/>
      <x:c r="H232" s="30"/>
      <x:c r="I232" s="30"/>
      <x:c r="J232" s="30"/>
      <x:c r="K232" s="30"/>
      <x:c r="L232" s="30"/>
      <x:c r="M232" s="30"/>
    </x:row>
    <x:row r="233" ht="15.75" customHeight="1">
      <x:c r="A233" s="42"/>
      <x:c r="B233" s="6"/>
      <x:c r="F233" s="30"/>
      <x:c r="G233" s="30"/>
      <x:c r="H233" s="30"/>
      <x:c r="I233" s="30"/>
      <x:c r="J233" s="30"/>
      <x:c r="K233" s="30"/>
      <x:c r="L233" s="30"/>
      <x:c r="M233" s="30"/>
    </x:row>
    <x:row r="234" ht="15.75" customHeight="1">
      <x:c r="A234" s="42"/>
      <x:c r="B234" s="6"/>
      <x:c r="F234" s="30"/>
      <x:c r="G234" s="30"/>
      <x:c r="H234" s="30"/>
      <x:c r="I234" s="30"/>
      <x:c r="J234" s="30"/>
      <x:c r="K234" s="30"/>
      <x:c r="L234" s="30"/>
      <x:c r="M234" s="30"/>
    </x:row>
    <x:row r="235" ht="15.75" customHeight="1">
      <x:c r="A235" s="42"/>
      <x:c r="B235" s="6"/>
      <x:c r="F235" s="30"/>
      <x:c r="G235" s="30"/>
      <x:c r="H235" s="30"/>
      <x:c r="I235" s="30"/>
      <x:c r="J235" s="30"/>
      <x:c r="K235" s="30"/>
      <x:c r="L235" s="30"/>
      <x:c r="M235" s="30"/>
    </x:row>
    <x:row r="236" ht="15.75" customHeight="1">
      <x:c r="A236" s="42"/>
      <x:c r="B236" s="6"/>
      <x:c r="F236" s="30"/>
      <x:c r="G236" s="30"/>
      <x:c r="H236" s="30"/>
      <x:c r="I236" s="30"/>
      <x:c r="J236" s="30"/>
      <x:c r="K236" s="30"/>
      <x:c r="L236" s="30"/>
      <x:c r="M236" s="30"/>
    </x:row>
    <x:row r="237" ht="15.75" customHeight="1">
      <x:c r="A237" s="42"/>
      <x:c r="B237" s="6"/>
      <x:c r="F237" s="30"/>
      <x:c r="G237" s="30"/>
      <x:c r="H237" s="30"/>
      <x:c r="I237" s="30"/>
      <x:c r="J237" s="30"/>
      <x:c r="K237" s="30"/>
      <x:c r="L237" s="30"/>
      <x:c r="M237" s="30"/>
    </x:row>
    <x:row r="238" ht="15.75" customHeight="1">
      <x:c r="A238" s="42"/>
      <x:c r="B238" s="6"/>
      <x:c r="F238" s="30"/>
      <x:c r="G238" s="30"/>
      <x:c r="H238" s="30"/>
      <x:c r="I238" s="30"/>
      <x:c r="J238" s="30"/>
      <x:c r="K238" s="30"/>
      <x:c r="L238" s="30"/>
      <x:c r="M238" s="30"/>
    </x:row>
    <x:row r="239" ht="15.75" customHeight="1">
      <x:c r="A239" s="42"/>
      <x:c r="B239" s="6"/>
      <x:c r="F239" s="30"/>
      <x:c r="G239" s="30"/>
      <x:c r="H239" s="30"/>
      <x:c r="I239" s="30"/>
      <x:c r="J239" s="30"/>
      <x:c r="K239" s="30"/>
      <x:c r="L239" s="30"/>
      <x:c r="M239" s="30"/>
    </x:row>
    <x:row r="240" ht="15.75" customHeight="1">
      <x:c r="A240" s="42"/>
      <x:c r="B240" s="6"/>
      <x:c r="F240" s="30"/>
      <x:c r="G240" s="30"/>
      <x:c r="H240" s="30"/>
      <x:c r="I240" s="30"/>
      <x:c r="J240" s="30"/>
      <x:c r="K240" s="30"/>
      <x:c r="L240" s="30"/>
      <x:c r="M240" s="30"/>
    </x:row>
    <x:row r="241" ht="15.75" customHeight="1">
      <x:c r="A241" s="42"/>
      <x:c r="B241" s="6"/>
      <x:c r="F241" s="30"/>
      <x:c r="G241" s="30"/>
      <x:c r="H241" s="30"/>
      <x:c r="I241" s="30"/>
      <x:c r="J241" s="30"/>
      <x:c r="K241" s="30"/>
      <x:c r="L241" s="30"/>
      <x:c r="M241" s="30"/>
    </x:row>
    <x:row r="242" ht="15.75" customHeight="1">
      <x:c r="A242" s="42"/>
      <x:c r="B242" s="6"/>
      <x:c r="F242" s="30"/>
      <x:c r="G242" s="30"/>
      <x:c r="H242" s="30"/>
      <x:c r="I242" s="30"/>
      <x:c r="J242" s="30"/>
      <x:c r="K242" s="30"/>
      <x:c r="L242" s="30"/>
      <x:c r="M242" s="30"/>
    </x:row>
    <x:row r="243" ht="15.75" customHeight="1">
      <x:c r="A243" s="42"/>
      <x:c r="B243" s="6"/>
      <x:c r="F243" s="30"/>
      <x:c r="G243" s="30"/>
      <x:c r="H243" s="30"/>
      <x:c r="I243" s="30"/>
      <x:c r="J243" s="30"/>
      <x:c r="K243" s="30"/>
      <x:c r="L243" s="30"/>
      <x:c r="M243" s="30"/>
    </x:row>
    <x:row r="244" ht="15.75" customHeight="1">
      <x:c r="A244" s="42"/>
      <x:c r="B244" s="6"/>
      <x:c r="F244" s="30"/>
      <x:c r="G244" s="30"/>
      <x:c r="H244" s="30"/>
      <x:c r="I244" s="30"/>
      <x:c r="J244" s="30"/>
      <x:c r="K244" s="30"/>
      <x:c r="L244" s="30"/>
      <x:c r="M244" s="30"/>
    </x:row>
    <x:row r="245" ht="15.75" customHeight="1">
      <x:c r="A245" s="42"/>
      <x:c r="B245" s="6"/>
      <x:c r="F245" s="30"/>
      <x:c r="G245" s="30"/>
      <x:c r="H245" s="30"/>
      <x:c r="I245" s="30"/>
      <x:c r="J245" s="30"/>
      <x:c r="K245" s="30"/>
      <x:c r="L245" s="30"/>
      <x:c r="M245" s="30"/>
    </x:row>
    <x:row r="246" ht="15.75" customHeight="1">
      <x:c r="A246" s="42"/>
      <x:c r="B246" s="6"/>
      <x:c r="F246" s="30"/>
      <x:c r="G246" s="30"/>
      <x:c r="H246" s="30"/>
      <x:c r="I246" s="30"/>
      <x:c r="J246" s="30"/>
      <x:c r="K246" s="30"/>
      <x:c r="L246" s="30"/>
      <x:c r="M246" s="30"/>
    </x:row>
    <x:row r="247" ht="15.75" customHeight="1">
      <x:c r="A247" s="42"/>
      <x:c r="B247" s="6"/>
      <x:c r="F247" s="30"/>
      <x:c r="G247" s="30"/>
      <x:c r="H247" s="30"/>
      <x:c r="I247" s="30"/>
      <x:c r="J247" s="30"/>
      <x:c r="K247" s="30"/>
      <x:c r="L247" s="30"/>
      <x:c r="M247" s="30"/>
    </x:row>
    <x:row r="248" ht="15.75" customHeight="1">
      <x:c r="A248" s="42"/>
      <x:c r="B248" s="6"/>
      <x:c r="F248" s="30"/>
      <x:c r="G248" s="30"/>
      <x:c r="H248" s="30"/>
      <x:c r="I248" s="30"/>
      <x:c r="J248" s="30"/>
      <x:c r="K248" s="30"/>
      <x:c r="L248" s="30"/>
      <x:c r="M248" s="30"/>
    </x:row>
    <x:row r="249" ht="15.75" customHeight="1">
      <x:c r="A249" s="42"/>
      <x:c r="B249" s="6"/>
      <x:c r="F249" s="30"/>
      <x:c r="G249" s="30"/>
      <x:c r="H249" s="30"/>
      <x:c r="I249" s="30"/>
      <x:c r="J249" s="30"/>
      <x:c r="K249" s="30"/>
      <x:c r="L249" s="30"/>
      <x:c r="M249" s="30"/>
    </x:row>
    <x:row r="250" ht="15.75" customHeight="1">
      <x:c r="A250" s="42"/>
      <x:c r="B250" s="6"/>
      <x:c r="F250" s="30"/>
      <x:c r="G250" s="30"/>
      <x:c r="H250" s="30"/>
      <x:c r="I250" s="30"/>
      <x:c r="J250" s="30"/>
      <x:c r="K250" s="30"/>
      <x:c r="L250" s="30"/>
      <x:c r="M250" s="30"/>
    </x:row>
    <x:row r="251" ht="15.75" customHeight="1">
      <x:c r="A251" s="42"/>
      <x:c r="B251" s="6"/>
      <x:c r="F251" s="30"/>
      <x:c r="G251" s="30"/>
      <x:c r="H251" s="30"/>
      <x:c r="I251" s="30"/>
      <x:c r="J251" s="30"/>
      <x:c r="K251" s="30"/>
      <x:c r="L251" s="30"/>
      <x:c r="M251" s="30"/>
    </x:row>
    <x:row r="252" ht="15.75" customHeight="1">
      <x:c r="A252" s="42"/>
      <x:c r="B252" s="6"/>
      <x:c r="F252" s="30"/>
      <x:c r="G252" s="30"/>
      <x:c r="H252" s="30"/>
      <x:c r="I252" s="30"/>
      <x:c r="J252" s="30"/>
      <x:c r="K252" s="30"/>
      <x:c r="L252" s="30"/>
      <x:c r="M252" s="30"/>
    </x:row>
    <x:row r="253" ht="15.75" customHeight="1">
      <x:c r="A253" s="42"/>
      <x:c r="B253" s="6"/>
      <x:c r="F253" s="30"/>
      <x:c r="G253" s="30"/>
      <x:c r="H253" s="30"/>
      <x:c r="I253" s="30"/>
      <x:c r="J253" s="30"/>
      <x:c r="K253" s="30"/>
      <x:c r="L253" s="30"/>
      <x:c r="M253" s="30"/>
    </x:row>
    <x:row r="254" ht="15.75" customHeight="1">
      <x:c r="A254" s="42"/>
      <x:c r="B254" s="6"/>
      <x:c r="F254" s="30"/>
      <x:c r="G254" s="30"/>
      <x:c r="H254" s="30"/>
      <x:c r="I254" s="30"/>
      <x:c r="J254" s="30"/>
      <x:c r="K254" s="30"/>
      <x:c r="L254" s="30"/>
      <x:c r="M254" s="30"/>
    </x:row>
    <x:row r="255" ht="15.75" customHeight="1">
      <x:c r="A255" s="42"/>
      <x:c r="B255" s="6"/>
      <x:c r="F255" s="30"/>
      <x:c r="G255" s="30"/>
      <x:c r="H255" s="30"/>
      <x:c r="I255" s="30"/>
      <x:c r="J255" s="30"/>
      <x:c r="K255" s="30"/>
      <x:c r="L255" s="30"/>
      <x:c r="M255" s="30"/>
    </x:row>
    <x:row r="256" ht="15.75" customHeight="1">
      <x:c r="A256" s="42"/>
      <x:c r="B256" s="6"/>
      <x:c r="F256" s="30"/>
      <x:c r="G256" s="30"/>
      <x:c r="H256" s="30"/>
      <x:c r="I256" s="30"/>
      <x:c r="J256" s="30"/>
      <x:c r="K256" s="30"/>
      <x:c r="L256" s="30"/>
      <x:c r="M256" s="30"/>
    </x:row>
    <x:row r="257" ht="15.75" customHeight="1">
      <x:c r="A257" s="42"/>
      <x:c r="B257" s="6"/>
      <x:c r="F257" s="30"/>
      <x:c r="G257" s="30"/>
      <x:c r="H257" s="30"/>
      <x:c r="I257" s="30"/>
      <x:c r="J257" s="30"/>
      <x:c r="K257" s="30"/>
      <x:c r="L257" s="30"/>
      <x:c r="M257" s="30"/>
    </x:row>
    <x:row r="258" ht="15.75" customHeight="1">
      <x:c r="A258" s="42"/>
      <x:c r="B258" s="6"/>
      <x:c r="F258" s="30"/>
      <x:c r="G258" s="30"/>
      <x:c r="H258" s="30"/>
      <x:c r="I258" s="30"/>
      <x:c r="J258" s="30"/>
      <x:c r="K258" s="30"/>
      <x:c r="L258" s="30"/>
      <x:c r="M258" s="30"/>
    </x:row>
    <x:row r="259" ht="15.75" customHeight="1">
      <x:c r="A259" s="42"/>
      <x:c r="B259" s="6"/>
      <x:c r="F259" s="30"/>
      <x:c r="G259" s="30"/>
      <x:c r="H259" s="30"/>
      <x:c r="I259" s="30"/>
      <x:c r="J259" s="30"/>
      <x:c r="K259" s="30"/>
      <x:c r="L259" s="30"/>
      <x:c r="M259" s="30"/>
    </x:row>
    <x:row r="260" ht="15.75" customHeight="1">
      <x:c r="A260" s="42"/>
      <x:c r="B260" s="6"/>
      <x:c r="F260" s="30"/>
      <x:c r="G260" s="30"/>
      <x:c r="H260" s="30"/>
      <x:c r="I260" s="30"/>
      <x:c r="J260" s="30"/>
      <x:c r="K260" s="30"/>
      <x:c r="L260" s="30"/>
      <x:c r="M260" s="30"/>
    </x:row>
    <x:row r="261" ht="15.75" customHeight="1">
      <x:c r="A261" s="42"/>
      <x:c r="B261" s="6"/>
      <x:c r="F261" s="30"/>
      <x:c r="G261" s="30"/>
      <x:c r="H261" s="30"/>
      <x:c r="I261" s="30"/>
      <x:c r="J261" s="30"/>
      <x:c r="K261" s="30"/>
      <x:c r="L261" s="30"/>
      <x:c r="M261" s="30"/>
    </x:row>
    <x:row r="262" ht="15.75" customHeight="1">
      <x:c r="A262" s="42"/>
      <x:c r="B262" s="6"/>
      <x:c r="F262" s="30"/>
      <x:c r="G262" s="30"/>
      <x:c r="H262" s="30"/>
      <x:c r="I262" s="30"/>
      <x:c r="J262" s="30"/>
      <x:c r="K262" s="30"/>
      <x:c r="L262" s="30"/>
      <x:c r="M262" s="30"/>
    </x:row>
    <x:row r="263" ht="15.75" customHeight="1">
      <x:c r="A263" s="42"/>
      <x:c r="B263" s="6"/>
      <x:c r="F263" s="30"/>
      <x:c r="G263" s="30"/>
      <x:c r="H263" s="30"/>
      <x:c r="I263" s="30"/>
      <x:c r="J263" s="30"/>
      <x:c r="K263" s="30"/>
      <x:c r="L263" s="30"/>
      <x:c r="M263" s="30"/>
    </x:row>
    <x:row r="264" ht="15.75" customHeight="1">
      <x:c r="A264" s="42"/>
      <x:c r="B264" s="6"/>
      <x:c r="F264" s="30"/>
      <x:c r="G264" s="30"/>
      <x:c r="H264" s="30"/>
      <x:c r="I264" s="30"/>
      <x:c r="J264" s="30"/>
      <x:c r="K264" s="30"/>
      <x:c r="L264" s="30"/>
      <x:c r="M264" s="30"/>
    </x:row>
    <x:row r="265" ht="15.75" customHeight="1">
      <x:c r="A265" s="42"/>
      <x:c r="B265" s="6"/>
      <x:c r="F265" s="30"/>
      <x:c r="G265" s="30"/>
      <x:c r="H265" s="30"/>
      <x:c r="I265" s="30"/>
      <x:c r="J265" s="30"/>
      <x:c r="K265" s="30"/>
      <x:c r="L265" s="30"/>
      <x:c r="M265" s="30"/>
    </x:row>
    <x:row r="266" ht="15.75" customHeight="1">
      <x:c r="A266" s="42"/>
      <x:c r="B266" s="6"/>
      <x:c r="F266" s="30"/>
      <x:c r="G266" s="30"/>
      <x:c r="H266" s="30"/>
      <x:c r="I266" s="30"/>
      <x:c r="J266" s="30"/>
      <x:c r="K266" s="30"/>
      <x:c r="L266" s="30"/>
      <x:c r="M266" s="30"/>
    </x:row>
    <x:row r="267" ht="15.75" customHeight="1">
      <x:c r="A267" s="42"/>
      <x:c r="B267" s="6"/>
      <x:c r="F267" s="30"/>
      <x:c r="G267" s="30"/>
      <x:c r="H267" s="30"/>
      <x:c r="I267" s="30"/>
      <x:c r="J267" s="30"/>
      <x:c r="K267" s="30"/>
      <x:c r="L267" s="30"/>
      <x:c r="M267" s="30"/>
    </x:row>
    <x:row r="268" ht="15.75" customHeight="1">
      <x:c r="A268" s="42"/>
      <x:c r="B268" s="6"/>
      <x:c r="F268" s="30"/>
      <x:c r="G268" s="30"/>
      <x:c r="H268" s="30"/>
      <x:c r="I268" s="30"/>
      <x:c r="J268" s="30"/>
      <x:c r="K268" s="30"/>
      <x:c r="L268" s="30"/>
      <x:c r="M268" s="30"/>
    </x:row>
    <x:row r="269" ht="15.75" customHeight="1">
      <x:c r="A269" s="42"/>
      <x:c r="B269" s="6"/>
      <x:c r="F269" s="30"/>
      <x:c r="G269" s="30"/>
      <x:c r="H269" s="30"/>
      <x:c r="I269" s="30"/>
      <x:c r="J269" s="30"/>
      <x:c r="K269" s="30"/>
      <x:c r="L269" s="30"/>
      <x:c r="M269" s="30"/>
    </x:row>
    <x:row r="270" ht="15.75" customHeight="1">
      <x:c r="A270" s="42"/>
      <x:c r="B270" s="6"/>
      <x:c r="F270" s="30"/>
      <x:c r="G270" s="30"/>
      <x:c r="H270" s="30"/>
      <x:c r="I270" s="30"/>
      <x:c r="J270" s="30"/>
      <x:c r="K270" s="30"/>
      <x:c r="L270" s="30"/>
      <x:c r="M270" s="30"/>
    </x:row>
    <x:row r="271" ht="15.75" customHeight="1">
      <x:c r="A271" s="42"/>
      <x:c r="B271" s="6"/>
      <x:c r="F271" s="30"/>
      <x:c r="G271" s="30"/>
      <x:c r="H271" s="30"/>
      <x:c r="I271" s="30"/>
      <x:c r="J271" s="30"/>
      <x:c r="K271" s="30"/>
      <x:c r="L271" s="30"/>
      <x:c r="M271" s="30"/>
    </x:row>
    <x:row r="272" ht="15.75" customHeight="1">
      <x:c r="A272" s="42"/>
      <x:c r="B272" s="6"/>
      <x:c r="F272" s="30"/>
      <x:c r="G272" s="30"/>
      <x:c r="H272" s="30"/>
      <x:c r="I272" s="30"/>
      <x:c r="J272" s="30"/>
      <x:c r="K272" s="30"/>
      <x:c r="L272" s="30"/>
      <x:c r="M272" s="30"/>
    </x:row>
    <x:row r="273" ht="15.75" customHeight="1">
      <x:c r="A273" s="42"/>
      <x:c r="B273" s="6"/>
      <x:c r="F273" s="30"/>
      <x:c r="G273" s="30"/>
      <x:c r="H273" s="30"/>
      <x:c r="I273" s="30"/>
      <x:c r="J273" s="30"/>
      <x:c r="K273" s="30"/>
      <x:c r="L273" s="30"/>
      <x:c r="M273" s="30"/>
    </x:row>
    <x:row r="274" ht="15.75" customHeight="1">
      <x:c r="A274" s="42"/>
      <x:c r="B274" s="6"/>
      <x:c r="F274" s="30"/>
      <x:c r="G274" s="30"/>
      <x:c r="H274" s="30"/>
      <x:c r="I274" s="30"/>
      <x:c r="J274" s="30"/>
      <x:c r="K274" s="30"/>
      <x:c r="L274" s="30"/>
      <x:c r="M274" s="30"/>
    </x:row>
    <x:row r="275" ht="15.75" customHeight="1">
      <x:c r="A275" s="42"/>
      <x:c r="B275" s="6"/>
      <x:c r="F275" s="30"/>
      <x:c r="G275" s="30"/>
      <x:c r="H275" s="30"/>
      <x:c r="I275" s="30"/>
      <x:c r="J275" s="30"/>
      <x:c r="K275" s="30"/>
      <x:c r="L275" s="30"/>
      <x:c r="M275" s="30"/>
    </x:row>
    <x:row r="276" ht="15.75" customHeight="1">
      <x:c r="A276" s="42"/>
      <x:c r="B276" s="6"/>
      <x:c r="F276" s="30"/>
      <x:c r="G276" s="30"/>
      <x:c r="H276" s="30"/>
      <x:c r="I276" s="30"/>
      <x:c r="J276" s="30"/>
      <x:c r="K276" s="30"/>
      <x:c r="L276" s="30"/>
      <x:c r="M276" s="30"/>
    </x:row>
    <x:row r="277" ht="15.75" customHeight="1">
      <x:c r="A277" s="42"/>
      <x:c r="B277" s="6"/>
      <x:c r="F277" s="30"/>
      <x:c r="G277" s="30"/>
      <x:c r="H277" s="30"/>
      <x:c r="I277" s="30"/>
      <x:c r="J277" s="30"/>
      <x:c r="K277" s="30"/>
      <x:c r="L277" s="30"/>
      <x:c r="M277" s="30"/>
    </x:row>
    <x:row r="278" ht="15.75" customHeight="1">
      <x:c r="A278" s="42"/>
      <x:c r="B278" s="6"/>
      <x:c r="F278" s="30"/>
      <x:c r="G278" s="30"/>
      <x:c r="H278" s="30"/>
      <x:c r="I278" s="30"/>
      <x:c r="J278" s="30"/>
      <x:c r="K278" s="30"/>
      <x:c r="L278" s="30"/>
      <x:c r="M278" s="30"/>
    </x:row>
    <x:row r="279" ht="15.75" customHeight="1">
      <x:c r="A279" s="42"/>
      <x:c r="B279" s="6"/>
      <x:c r="F279" s="30"/>
      <x:c r="G279" s="30"/>
      <x:c r="H279" s="30"/>
      <x:c r="I279" s="30"/>
      <x:c r="J279" s="30"/>
      <x:c r="K279" s="30"/>
      <x:c r="L279" s="30"/>
      <x:c r="M279" s="30"/>
    </x:row>
    <x:row r="280" ht="15.75" customHeight="1">
      <x:c r="A280" s="42"/>
      <x:c r="B280" s="6"/>
      <x:c r="F280" s="30"/>
      <x:c r="G280" s="30"/>
      <x:c r="H280" s="30"/>
      <x:c r="I280" s="30"/>
      <x:c r="J280" s="30"/>
      <x:c r="K280" s="30"/>
      <x:c r="L280" s="30"/>
      <x:c r="M280" s="30"/>
    </x:row>
    <x:row r="281" ht="15.75" customHeight="1">
      <x:c r="A281" s="42"/>
      <x:c r="B281" s="6"/>
      <x:c r="F281" s="30"/>
      <x:c r="G281" s="30"/>
      <x:c r="H281" s="30"/>
      <x:c r="I281" s="30"/>
      <x:c r="J281" s="30"/>
      <x:c r="K281" s="30"/>
      <x:c r="L281" s="30"/>
      <x:c r="M281" s="30"/>
    </x:row>
    <x:row r="282" ht="15.75" customHeight="1">
      <x:c r="A282" s="42"/>
      <x:c r="B282" s="6"/>
      <x:c r="F282" s="30"/>
      <x:c r="G282" s="30"/>
      <x:c r="H282" s="30"/>
      <x:c r="I282" s="30"/>
      <x:c r="J282" s="30"/>
      <x:c r="K282" s="30"/>
      <x:c r="L282" s="30"/>
      <x:c r="M282" s="30"/>
    </x:row>
    <x:row r="283" ht="15.75" customHeight="1">
      <x:c r="A283" s="42"/>
      <x:c r="B283" s="6"/>
      <x:c r="F283" s="30"/>
      <x:c r="G283" s="30"/>
      <x:c r="H283" s="30"/>
      <x:c r="I283" s="30"/>
      <x:c r="J283" s="30"/>
      <x:c r="K283" s="30"/>
      <x:c r="L283" s="30"/>
      <x:c r="M283" s="30"/>
    </x:row>
    <x:row r="284" ht="15.75" customHeight="1">
      <x:c r="A284" s="42"/>
      <x:c r="B284" s="6"/>
      <x:c r="F284" s="30"/>
      <x:c r="G284" s="30"/>
      <x:c r="H284" s="30"/>
      <x:c r="I284" s="30"/>
      <x:c r="J284" s="30"/>
      <x:c r="K284" s="30"/>
      <x:c r="L284" s="30"/>
      <x:c r="M284" s="30"/>
    </x:row>
    <x:row r="285" ht="15.75" customHeight="1">
      <x:c r="A285" s="42"/>
      <x:c r="B285" s="6"/>
      <x:c r="F285" s="30"/>
      <x:c r="G285" s="30"/>
      <x:c r="H285" s="30"/>
      <x:c r="I285" s="30"/>
      <x:c r="J285" s="30"/>
      <x:c r="K285" s="30"/>
      <x:c r="L285" s="30"/>
      <x:c r="M285" s="30"/>
    </x:row>
    <x:row r="286" ht="15.75" customHeight="1">
      <x:c r="A286" s="42"/>
      <x:c r="B286" s="6"/>
      <x:c r="F286" s="30"/>
      <x:c r="G286" s="30"/>
      <x:c r="H286" s="30"/>
      <x:c r="I286" s="30"/>
      <x:c r="J286" s="30"/>
      <x:c r="K286" s="30"/>
      <x:c r="L286" s="30"/>
      <x:c r="M286" s="30"/>
    </x:row>
    <x:row r="287" ht="15.75" customHeight="1">
      <x:c r="A287" s="42"/>
      <x:c r="B287" s="6"/>
      <x:c r="F287" s="30"/>
      <x:c r="G287" s="30"/>
      <x:c r="H287" s="30"/>
      <x:c r="I287" s="30"/>
      <x:c r="J287" s="30"/>
      <x:c r="K287" s="30"/>
      <x:c r="L287" s="30"/>
      <x:c r="M287" s="30"/>
    </x:row>
    <x:row r="288" ht="15.75" customHeight="1">
      <x:c r="A288" s="42"/>
      <x:c r="B288" s="6"/>
      <x:c r="F288" s="30"/>
      <x:c r="G288" s="30"/>
      <x:c r="H288" s="30"/>
      <x:c r="I288" s="30"/>
      <x:c r="J288" s="30"/>
      <x:c r="K288" s="30"/>
      <x:c r="L288" s="30"/>
      <x:c r="M288" s="30"/>
    </x:row>
    <x:row r="289" ht="15.75" customHeight="1">
      <x:c r="A289" s="42"/>
      <x:c r="B289" s="6"/>
      <x:c r="F289" s="30"/>
      <x:c r="G289" s="30"/>
      <x:c r="H289" s="30"/>
      <x:c r="I289" s="30"/>
      <x:c r="J289" s="30"/>
      <x:c r="K289" s="30"/>
      <x:c r="L289" s="30"/>
      <x:c r="M289" s="30"/>
    </x:row>
    <x:row r="290" ht="15.75" customHeight="1">
      <x:c r="A290" s="42"/>
      <x:c r="B290" s="6"/>
      <x:c r="F290" s="30"/>
      <x:c r="G290" s="30"/>
      <x:c r="H290" s="30"/>
      <x:c r="I290" s="30"/>
      <x:c r="J290" s="30"/>
      <x:c r="K290" s="30"/>
      <x:c r="L290" s="30"/>
      <x:c r="M290" s="30"/>
    </x:row>
    <x:row r="291" ht="15.75" customHeight="1">
      <x:c r="A291" s="42"/>
      <x:c r="B291" s="6"/>
      <x:c r="F291" s="30"/>
      <x:c r="G291" s="30"/>
      <x:c r="H291" s="30"/>
      <x:c r="I291" s="30"/>
      <x:c r="J291" s="30"/>
      <x:c r="K291" s="30"/>
      <x:c r="L291" s="30"/>
      <x:c r="M291" s="30"/>
    </x:row>
    <x:row r="292" ht="15.75" customHeight="1">
      <x:c r="A292" s="42"/>
      <x:c r="B292" s="6"/>
      <x:c r="F292" s="30"/>
      <x:c r="G292" s="30"/>
      <x:c r="H292" s="30"/>
      <x:c r="I292" s="30"/>
      <x:c r="J292" s="30"/>
      <x:c r="K292" s="30"/>
      <x:c r="L292" s="30"/>
      <x:c r="M292" s="30"/>
    </x:row>
    <x:row r="293" ht="15.75" customHeight="1">
      <x:c r="A293" s="42"/>
      <x:c r="B293" s="6"/>
      <x:c r="F293" s="30"/>
      <x:c r="G293" s="30"/>
      <x:c r="H293" s="30"/>
      <x:c r="I293" s="30"/>
      <x:c r="J293" s="30"/>
      <x:c r="K293" s="30"/>
      <x:c r="L293" s="30"/>
      <x:c r="M293" s="30"/>
    </x:row>
    <x:row r="294" ht="15.75" customHeight="1">
      <x:c r="A294" s="42"/>
      <x:c r="B294" s="6"/>
      <x:c r="F294" s="30"/>
      <x:c r="G294" s="30"/>
      <x:c r="H294" s="30"/>
      <x:c r="I294" s="30"/>
      <x:c r="J294" s="30"/>
      <x:c r="K294" s="30"/>
      <x:c r="L294" s="30"/>
      <x:c r="M294" s="30"/>
    </x:row>
    <x:row r="295" ht="15.75" customHeight="1">
      <x:c r="A295" s="42"/>
      <x:c r="B295" s="6"/>
      <x:c r="F295" s="30"/>
      <x:c r="G295" s="30"/>
      <x:c r="H295" s="30"/>
      <x:c r="I295" s="30"/>
      <x:c r="J295" s="30"/>
      <x:c r="K295" s="30"/>
      <x:c r="L295" s="30"/>
      <x:c r="M295" s="30"/>
    </x:row>
    <x:row r="296" ht="15.75" customHeight="1">
      <x:c r="A296" s="42"/>
      <x:c r="B296" s="6"/>
      <x:c r="F296" s="30"/>
      <x:c r="G296" s="30"/>
      <x:c r="H296" s="30"/>
      <x:c r="I296" s="30"/>
      <x:c r="J296" s="30"/>
      <x:c r="K296" s="30"/>
      <x:c r="L296" s="30"/>
      <x:c r="M296" s="30"/>
    </x:row>
    <x:row r="297" ht="15.75" customHeight="1">
      <x:c r="A297" s="42"/>
      <x:c r="B297" s="6"/>
      <x:c r="F297" s="30"/>
      <x:c r="G297" s="30"/>
      <x:c r="H297" s="30"/>
      <x:c r="I297" s="30"/>
      <x:c r="J297" s="30"/>
      <x:c r="K297" s="30"/>
      <x:c r="L297" s="30"/>
      <x:c r="M297" s="30"/>
    </x:row>
    <x:row r="298" ht="15.75" customHeight="1">
      <x:c r="A298" s="42"/>
      <x:c r="B298" s="6"/>
      <x:c r="F298" s="30"/>
      <x:c r="G298" s="30"/>
      <x:c r="H298" s="30"/>
      <x:c r="I298" s="30"/>
      <x:c r="J298" s="30"/>
      <x:c r="K298" s="30"/>
      <x:c r="L298" s="30"/>
      <x:c r="M298" s="30"/>
    </x:row>
    <x:row r="299" ht="15.75" customHeight="1">
      <x:c r="A299" s="42"/>
      <x:c r="B299" s="6"/>
      <x:c r="F299" s="30"/>
      <x:c r="G299" s="30"/>
      <x:c r="H299" s="30"/>
      <x:c r="I299" s="30"/>
      <x:c r="J299" s="30"/>
      <x:c r="K299" s="30"/>
      <x:c r="L299" s="30"/>
      <x:c r="M299" s="30"/>
    </x:row>
    <x:row r="300" ht="15.75" customHeight="1">
      <x:c r="A300" s="42"/>
      <x:c r="B300" s="6"/>
      <x:c r="F300" s="30"/>
      <x:c r="G300" s="30"/>
      <x:c r="H300" s="30"/>
      <x:c r="I300" s="30"/>
      <x:c r="J300" s="30"/>
      <x:c r="K300" s="30"/>
      <x:c r="L300" s="30"/>
      <x:c r="M300" s="30"/>
    </x:row>
    <x:row r="301" ht="15.75" customHeight="1">
      <x:c r="A301" s="42"/>
      <x:c r="B301" s="6"/>
      <x:c r="F301" s="30"/>
      <x:c r="G301" s="30"/>
      <x:c r="H301" s="30"/>
      <x:c r="I301" s="30"/>
      <x:c r="J301" s="30"/>
      <x:c r="K301" s="30"/>
      <x:c r="L301" s="30"/>
      <x:c r="M301" s="30"/>
    </x:row>
    <x:row r="302" ht="15.75" customHeight="1">
      <x:c r="A302" s="42"/>
      <x:c r="B302" s="6"/>
      <x:c r="F302" s="30"/>
      <x:c r="G302" s="30"/>
      <x:c r="H302" s="30"/>
      <x:c r="I302" s="30"/>
      <x:c r="J302" s="30"/>
      <x:c r="K302" s="30"/>
      <x:c r="L302" s="30"/>
      <x:c r="M302" s="30"/>
    </x:row>
    <x:row r="303" ht="15.75" customHeight="1">
      <x:c r="A303" s="42"/>
      <x:c r="B303" s="6"/>
      <x:c r="F303" s="30"/>
      <x:c r="G303" s="30"/>
      <x:c r="H303" s="30"/>
      <x:c r="I303" s="30"/>
      <x:c r="J303" s="30"/>
      <x:c r="K303" s="30"/>
      <x:c r="L303" s="30"/>
      <x:c r="M303" s="30"/>
    </x:row>
    <x:row r="304" ht="15.75" customHeight="1">
      <x:c r="A304" s="42"/>
      <x:c r="B304" s="6"/>
      <x:c r="F304" s="30"/>
      <x:c r="G304" s="30"/>
      <x:c r="H304" s="30"/>
      <x:c r="I304" s="30"/>
      <x:c r="J304" s="30"/>
      <x:c r="K304" s="30"/>
      <x:c r="L304" s="30"/>
      <x:c r="M304" s="30"/>
    </x:row>
    <x:row r="305" ht="15.75" customHeight="1">
      <x:c r="A305" s="42"/>
      <x:c r="B305" s="6"/>
      <x:c r="F305" s="30"/>
      <x:c r="G305" s="30"/>
      <x:c r="H305" s="30"/>
      <x:c r="I305" s="30"/>
      <x:c r="J305" s="30"/>
      <x:c r="K305" s="30"/>
      <x:c r="L305" s="30"/>
      <x:c r="M305" s="30"/>
    </x:row>
    <x:row r="306" ht="15.75" customHeight="1">
      <x:c r="A306" s="42"/>
      <x:c r="B306" s="6"/>
      <x:c r="F306" s="30"/>
      <x:c r="G306" s="30"/>
      <x:c r="H306" s="30"/>
      <x:c r="I306" s="30"/>
      <x:c r="J306" s="30"/>
      <x:c r="K306" s="30"/>
      <x:c r="L306" s="30"/>
      <x:c r="M306" s="30"/>
    </x:row>
    <x:row r="307" ht="15.75" customHeight="1">
      <x:c r="A307" s="42"/>
      <x:c r="B307" s="6"/>
      <x:c r="F307" s="30"/>
      <x:c r="G307" s="30"/>
      <x:c r="H307" s="30"/>
      <x:c r="I307" s="30"/>
      <x:c r="J307" s="30"/>
      <x:c r="K307" s="30"/>
      <x:c r="L307" s="30"/>
      <x:c r="M307" s="30"/>
    </x:row>
    <x:row r="308" ht="15.75" customHeight="1">
      <x:c r="A308" s="42"/>
      <x:c r="B308" s="6"/>
      <x:c r="F308" s="30"/>
      <x:c r="G308" s="30"/>
      <x:c r="H308" s="30"/>
      <x:c r="I308" s="30"/>
      <x:c r="J308" s="30"/>
      <x:c r="K308" s="30"/>
      <x:c r="L308" s="30"/>
      <x:c r="M308" s="30"/>
    </x:row>
    <x:row r="309" ht="15.75" customHeight="1">
      <x:c r="A309" s="42"/>
      <x:c r="B309" s="6"/>
      <x:c r="F309" s="30"/>
      <x:c r="G309" s="30"/>
      <x:c r="H309" s="30"/>
      <x:c r="I309" s="30"/>
      <x:c r="J309" s="30"/>
      <x:c r="K309" s="30"/>
      <x:c r="L309" s="30"/>
      <x:c r="M309" s="30"/>
    </x:row>
    <x:row r="310" ht="15.75" customHeight="1">
      <x:c r="A310" s="42"/>
      <x:c r="B310" s="6"/>
      <x:c r="F310" s="30"/>
      <x:c r="G310" s="30"/>
      <x:c r="H310" s="30"/>
      <x:c r="I310" s="30"/>
      <x:c r="J310" s="30"/>
      <x:c r="K310" s="30"/>
      <x:c r="L310" s="30"/>
      <x:c r="M310" s="30"/>
    </x:row>
    <x:row r="311" ht="15.75" customHeight="1">
      <x:c r="A311" s="42"/>
      <x:c r="B311" s="6"/>
      <x:c r="F311" s="30"/>
      <x:c r="G311" s="30"/>
      <x:c r="H311" s="30"/>
      <x:c r="I311" s="30"/>
      <x:c r="J311" s="30"/>
      <x:c r="K311" s="30"/>
      <x:c r="L311" s="30"/>
      <x:c r="M311" s="30"/>
    </x:row>
    <x:row r="312" ht="15.75" customHeight="1">
      <x:c r="A312" s="42"/>
      <x:c r="B312" s="6"/>
      <x:c r="F312" s="30"/>
      <x:c r="G312" s="30"/>
      <x:c r="H312" s="30"/>
      <x:c r="I312" s="30"/>
      <x:c r="J312" s="30"/>
      <x:c r="K312" s="30"/>
      <x:c r="L312" s="30"/>
      <x:c r="M312" s="30"/>
    </x:row>
    <x:row r="313" ht="15.75" customHeight="1">
      <x:c r="A313" s="42"/>
      <x:c r="B313" s="6"/>
      <x:c r="F313" s="30"/>
      <x:c r="G313" s="30"/>
      <x:c r="H313" s="30"/>
      <x:c r="I313" s="30"/>
      <x:c r="J313" s="30"/>
      <x:c r="K313" s="30"/>
      <x:c r="L313" s="30"/>
      <x:c r="M313" s="30"/>
    </x:row>
    <x:row r="314" ht="15.75" customHeight="1">
      <x:c r="A314" s="42"/>
      <x:c r="B314" s="6"/>
      <x:c r="F314" s="30"/>
      <x:c r="G314" s="30"/>
      <x:c r="H314" s="30"/>
      <x:c r="I314" s="30"/>
      <x:c r="J314" s="30"/>
      <x:c r="K314" s="30"/>
      <x:c r="L314" s="30"/>
      <x:c r="M314" s="30"/>
    </x:row>
    <x:row r="315" ht="15.75" customHeight="1">
      <x:c r="A315" s="42"/>
      <x:c r="B315" s="6"/>
      <x:c r="F315" s="30"/>
      <x:c r="G315" s="30"/>
      <x:c r="H315" s="30"/>
      <x:c r="I315" s="30"/>
      <x:c r="J315" s="30"/>
      <x:c r="K315" s="30"/>
      <x:c r="L315" s="30"/>
      <x:c r="M315" s="30"/>
    </x:row>
    <x:row r="316" ht="15.75" customHeight="1">
      <x:c r="A316" s="42"/>
      <x:c r="B316" s="6"/>
      <x:c r="F316" s="30"/>
      <x:c r="G316" s="30"/>
      <x:c r="H316" s="30"/>
      <x:c r="I316" s="30"/>
      <x:c r="J316" s="30"/>
      <x:c r="K316" s="30"/>
      <x:c r="L316" s="30"/>
      <x:c r="M316" s="30"/>
    </x:row>
    <x:row r="317" ht="15.75" customHeight="1">
      <x:c r="A317" s="42"/>
      <x:c r="B317" s="6"/>
      <x:c r="F317" s="30"/>
      <x:c r="G317" s="30"/>
      <x:c r="H317" s="30"/>
      <x:c r="I317" s="30"/>
      <x:c r="J317" s="30"/>
      <x:c r="K317" s="30"/>
      <x:c r="L317" s="30"/>
      <x:c r="M317" s="30"/>
    </x:row>
    <x:row r="318" ht="15.75" customHeight="1">
      <x:c r="A318" s="42"/>
      <x:c r="B318" s="6"/>
      <x:c r="F318" s="30"/>
      <x:c r="G318" s="30"/>
      <x:c r="H318" s="30"/>
      <x:c r="I318" s="30"/>
      <x:c r="J318" s="30"/>
      <x:c r="K318" s="30"/>
      <x:c r="L318" s="30"/>
      <x:c r="M318" s="30"/>
    </x:row>
    <x:row r="319" ht="15.75" customHeight="1">
      <x:c r="A319" s="42"/>
      <x:c r="B319" s="6"/>
      <x:c r="F319" s="30"/>
      <x:c r="G319" s="30"/>
      <x:c r="H319" s="30"/>
      <x:c r="I319" s="30"/>
      <x:c r="J319" s="30"/>
      <x:c r="K319" s="30"/>
      <x:c r="L319" s="30"/>
      <x:c r="M319" s="30"/>
    </x:row>
    <x:row r="320" ht="15.75" customHeight="1">
      <x:c r="A320" s="42"/>
      <x:c r="B320" s="6"/>
      <x:c r="F320" s="30"/>
      <x:c r="G320" s="30"/>
      <x:c r="H320" s="30"/>
      <x:c r="I320" s="30"/>
      <x:c r="J320" s="30"/>
      <x:c r="K320" s="30"/>
      <x:c r="L320" s="30"/>
      <x:c r="M320" s="30"/>
    </x:row>
    <x:row r="321" ht="15.75" customHeight="1">
      <x:c r="A321" s="42"/>
      <x:c r="B321" s="6"/>
      <x:c r="F321" s="30"/>
      <x:c r="G321" s="30"/>
      <x:c r="H321" s="30"/>
      <x:c r="I321" s="30"/>
      <x:c r="J321" s="30"/>
      <x:c r="K321" s="30"/>
      <x:c r="L321" s="30"/>
      <x:c r="M321" s="30"/>
    </x:row>
    <x:row r="322" ht="15.75" customHeight="1">
      <x:c r="A322" s="42"/>
      <x:c r="B322" s="6"/>
      <x:c r="F322" s="30"/>
      <x:c r="G322" s="30"/>
      <x:c r="H322" s="30"/>
      <x:c r="I322" s="30"/>
      <x:c r="J322" s="30"/>
      <x:c r="K322" s="30"/>
      <x:c r="L322" s="30"/>
      <x:c r="M322" s="30"/>
    </x:row>
    <x:row r="323" ht="15.75" customHeight="1">
      <x:c r="A323" s="42"/>
      <x:c r="B323" s="6"/>
      <x:c r="F323" s="30"/>
      <x:c r="G323" s="30"/>
      <x:c r="H323" s="30"/>
      <x:c r="I323" s="30"/>
      <x:c r="J323" s="30"/>
      <x:c r="K323" s="30"/>
      <x:c r="L323" s="30"/>
      <x:c r="M323" s="30"/>
    </x:row>
    <x:row r="324" ht="15.75" customHeight="1">
      <x:c r="A324" s="42"/>
      <x:c r="B324" s="6"/>
      <x:c r="F324" s="30"/>
      <x:c r="G324" s="30"/>
      <x:c r="H324" s="30"/>
      <x:c r="I324" s="30"/>
      <x:c r="J324" s="30"/>
      <x:c r="K324" s="30"/>
      <x:c r="L324" s="30"/>
      <x:c r="M324" s="30"/>
    </x:row>
    <x:row r="325" ht="15.75" customHeight="1">
      <x:c r="A325" s="42"/>
      <x:c r="B325" s="6"/>
      <x:c r="F325" s="30"/>
      <x:c r="G325" s="30"/>
      <x:c r="H325" s="30"/>
      <x:c r="I325" s="30"/>
      <x:c r="J325" s="30"/>
      <x:c r="K325" s="30"/>
      <x:c r="L325" s="30"/>
      <x:c r="M325" s="30"/>
    </x:row>
    <x:row r="326" ht="15.75" customHeight="1">
      <x:c r="A326" s="42"/>
      <x:c r="B326" s="6"/>
      <x:c r="F326" s="30"/>
      <x:c r="G326" s="30"/>
      <x:c r="H326" s="30"/>
      <x:c r="I326" s="30"/>
      <x:c r="J326" s="30"/>
      <x:c r="K326" s="30"/>
      <x:c r="L326" s="30"/>
      <x:c r="M326" s="30"/>
    </x:row>
    <x:row r="327" ht="15.75" customHeight="1">
      <x:c r="A327" s="42"/>
      <x:c r="B327" s="6"/>
      <x:c r="F327" s="30"/>
      <x:c r="G327" s="30"/>
      <x:c r="H327" s="30"/>
      <x:c r="I327" s="30"/>
      <x:c r="J327" s="30"/>
      <x:c r="K327" s="30"/>
      <x:c r="L327" s="30"/>
      <x:c r="M327" s="30"/>
    </x:row>
    <x:row r="328" ht="15.75" customHeight="1">
      <x:c r="A328" s="42"/>
      <x:c r="B328" s="6"/>
      <x:c r="F328" s="30"/>
      <x:c r="G328" s="30"/>
      <x:c r="H328" s="30"/>
      <x:c r="I328" s="30"/>
      <x:c r="J328" s="30"/>
      <x:c r="K328" s="30"/>
      <x:c r="L328" s="30"/>
      <x:c r="M328" s="30"/>
    </x:row>
    <x:row r="329" ht="15.75" customHeight="1">
      <x:c r="A329" s="42"/>
      <x:c r="B329" s="6"/>
      <x:c r="F329" s="30"/>
      <x:c r="G329" s="30"/>
      <x:c r="H329" s="30"/>
      <x:c r="I329" s="30"/>
      <x:c r="J329" s="30"/>
      <x:c r="K329" s="30"/>
      <x:c r="L329" s="30"/>
      <x:c r="M329" s="30"/>
    </x:row>
    <x:row r="330" ht="15.75" customHeight="1">
      <x:c r="A330" s="42"/>
      <x:c r="B330" s="6"/>
      <x:c r="F330" s="30"/>
      <x:c r="G330" s="30"/>
      <x:c r="H330" s="30"/>
      <x:c r="I330" s="30"/>
      <x:c r="J330" s="30"/>
      <x:c r="K330" s="30"/>
      <x:c r="L330" s="30"/>
      <x:c r="M330" s="30"/>
    </x:row>
    <x:row r="331" ht="15.75" customHeight="1">
      <x:c r="A331" s="42"/>
      <x:c r="B331" s="6"/>
      <x:c r="F331" s="30"/>
      <x:c r="G331" s="30"/>
      <x:c r="H331" s="30"/>
      <x:c r="I331" s="30"/>
      <x:c r="J331" s="30"/>
      <x:c r="K331" s="30"/>
      <x:c r="L331" s="30"/>
      <x:c r="M331" s="30"/>
    </x:row>
    <x:row r="332" ht="15.75" customHeight="1">
      <x:c r="A332" s="42"/>
      <x:c r="B332" s="6"/>
      <x:c r="F332" s="30"/>
      <x:c r="G332" s="30"/>
      <x:c r="H332" s="30"/>
      <x:c r="I332" s="30"/>
      <x:c r="J332" s="30"/>
      <x:c r="K332" s="30"/>
      <x:c r="L332" s="30"/>
      <x:c r="M332" s="30"/>
    </x:row>
    <x:row r="333" ht="15.75" customHeight="1">
      <x:c r="A333" s="42"/>
      <x:c r="B333" s="6"/>
      <x:c r="F333" s="30"/>
      <x:c r="G333" s="30"/>
      <x:c r="H333" s="30"/>
      <x:c r="I333" s="30"/>
      <x:c r="J333" s="30"/>
      <x:c r="K333" s="30"/>
      <x:c r="L333" s="30"/>
      <x:c r="M333" s="30"/>
    </x:row>
    <x:row r="334" ht="15.75" customHeight="1">
      <x:c r="A334" s="42"/>
      <x:c r="B334" s="6"/>
      <x:c r="F334" s="30"/>
      <x:c r="G334" s="30"/>
      <x:c r="H334" s="30"/>
      <x:c r="I334" s="30"/>
      <x:c r="J334" s="30"/>
      <x:c r="K334" s="30"/>
      <x:c r="L334" s="30"/>
      <x:c r="M334" s="30"/>
    </x:row>
    <x:row r="335" ht="15.75" customHeight="1">
      <x:c r="A335" s="42"/>
      <x:c r="B335" s="6"/>
      <x:c r="F335" s="30"/>
      <x:c r="G335" s="30"/>
      <x:c r="H335" s="30"/>
      <x:c r="I335" s="30"/>
      <x:c r="J335" s="30"/>
      <x:c r="K335" s="30"/>
      <x:c r="L335" s="30"/>
      <x:c r="M335" s="30"/>
    </x:row>
    <x:row r="336" ht="15.75" customHeight="1">
      <x:c r="A336" s="42"/>
      <x:c r="B336" s="6"/>
      <x:c r="F336" s="30"/>
      <x:c r="G336" s="30"/>
      <x:c r="H336" s="30"/>
      <x:c r="I336" s="30"/>
      <x:c r="J336" s="30"/>
      <x:c r="K336" s="30"/>
      <x:c r="L336" s="30"/>
      <x:c r="M336" s="30"/>
    </x:row>
    <x:row r="337" ht="15.75" customHeight="1">
      <x:c r="A337" s="42"/>
      <x:c r="B337" s="6"/>
      <x:c r="F337" s="30"/>
      <x:c r="G337" s="30"/>
      <x:c r="H337" s="30"/>
      <x:c r="I337" s="30"/>
      <x:c r="J337" s="30"/>
      <x:c r="K337" s="30"/>
      <x:c r="L337" s="30"/>
      <x:c r="M337" s="30"/>
    </x:row>
    <x:row r="338" ht="15.75" customHeight="1">
      <x:c r="A338" s="42"/>
      <x:c r="B338" s="6"/>
      <x:c r="F338" s="30"/>
      <x:c r="G338" s="30"/>
      <x:c r="H338" s="30"/>
      <x:c r="I338" s="30"/>
      <x:c r="J338" s="30"/>
      <x:c r="K338" s="30"/>
      <x:c r="L338" s="30"/>
      <x:c r="M338" s="30"/>
    </x:row>
    <x:row r="339" ht="15.75" customHeight="1">
      <x:c r="A339" s="42"/>
      <x:c r="B339" s="6"/>
      <x:c r="F339" s="30"/>
      <x:c r="G339" s="30"/>
      <x:c r="H339" s="30"/>
      <x:c r="I339" s="30"/>
      <x:c r="J339" s="30"/>
      <x:c r="K339" s="30"/>
      <x:c r="L339" s="30"/>
      <x:c r="M339" s="30"/>
    </x:row>
    <x:row r="340" ht="15.75" customHeight="1">
      <x:c r="A340" s="42"/>
      <x:c r="B340" s="6"/>
      <x:c r="F340" s="30"/>
      <x:c r="G340" s="30"/>
      <x:c r="H340" s="30"/>
      <x:c r="I340" s="30"/>
      <x:c r="J340" s="30"/>
      <x:c r="K340" s="30"/>
      <x:c r="L340" s="30"/>
      <x:c r="M340" s="30"/>
    </x:row>
    <x:row r="341" ht="15.75" customHeight="1">
      <x:c r="A341" s="42"/>
      <x:c r="B341" s="6"/>
      <x:c r="F341" s="30"/>
      <x:c r="G341" s="30"/>
      <x:c r="H341" s="30"/>
      <x:c r="I341" s="30"/>
      <x:c r="J341" s="30"/>
      <x:c r="K341" s="30"/>
      <x:c r="L341" s="30"/>
      <x:c r="M341" s="30"/>
    </x:row>
    <x:row r="342" ht="15.75" customHeight="1">
      <x:c r="A342" s="42"/>
      <x:c r="B342" s="6"/>
      <x:c r="F342" s="30"/>
      <x:c r="G342" s="30"/>
      <x:c r="H342" s="30"/>
      <x:c r="I342" s="30"/>
      <x:c r="J342" s="30"/>
      <x:c r="K342" s="30"/>
      <x:c r="L342" s="30"/>
      <x:c r="M342" s="30"/>
    </x:row>
    <x:row r="343" ht="15.75" customHeight="1">
      <x:c r="A343" s="42"/>
      <x:c r="B343" s="6"/>
      <x:c r="F343" s="30"/>
      <x:c r="G343" s="30"/>
      <x:c r="H343" s="30"/>
      <x:c r="I343" s="30"/>
      <x:c r="J343" s="30"/>
      <x:c r="K343" s="30"/>
      <x:c r="L343" s="30"/>
      <x:c r="M343" s="30"/>
    </x:row>
    <x:row r="344" ht="15.75" customHeight="1">
      <x:c r="A344" s="42"/>
      <x:c r="B344" s="6"/>
      <x:c r="F344" s="30"/>
      <x:c r="G344" s="30"/>
      <x:c r="H344" s="30"/>
      <x:c r="I344" s="30"/>
      <x:c r="J344" s="30"/>
      <x:c r="K344" s="30"/>
      <x:c r="L344" s="30"/>
      <x:c r="M344" s="30"/>
    </x:row>
    <x:row r="345" ht="15.75" customHeight="1">
      <x:c r="A345" s="42"/>
      <x:c r="B345" s="6"/>
      <x:c r="F345" s="30"/>
      <x:c r="G345" s="30"/>
      <x:c r="H345" s="30"/>
      <x:c r="I345" s="30"/>
      <x:c r="J345" s="30"/>
      <x:c r="K345" s="30"/>
      <x:c r="L345" s="30"/>
      <x:c r="M345" s="30"/>
    </x:row>
    <x:row r="346" ht="15.75" customHeight="1">
      <x:c r="A346" s="42"/>
      <x:c r="B346" s="6"/>
      <x:c r="F346" s="30"/>
      <x:c r="G346" s="30"/>
      <x:c r="H346" s="30"/>
      <x:c r="I346" s="30"/>
      <x:c r="J346" s="30"/>
      <x:c r="K346" s="30"/>
      <x:c r="L346" s="30"/>
      <x:c r="M346" s="30"/>
    </x:row>
    <x:row r="347" ht="15.75" customHeight="1">
      <x:c r="A347" s="42"/>
      <x:c r="B347" s="6"/>
      <x:c r="F347" s="30"/>
      <x:c r="G347" s="30"/>
      <x:c r="H347" s="30"/>
      <x:c r="I347" s="30"/>
      <x:c r="J347" s="30"/>
      <x:c r="K347" s="30"/>
      <x:c r="L347" s="30"/>
      <x:c r="M347" s="30"/>
    </x:row>
    <x:row r="348" ht="15.75" customHeight="1">
      <x:c r="A348" s="42"/>
      <x:c r="B348" s="6"/>
      <x:c r="F348" s="30"/>
      <x:c r="G348" s="30"/>
      <x:c r="H348" s="30"/>
      <x:c r="I348" s="30"/>
      <x:c r="J348" s="30"/>
      <x:c r="K348" s="30"/>
      <x:c r="L348" s="30"/>
      <x:c r="M348" s="30"/>
    </x:row>
    <x:row r="349" ht="15.75" customHeight="1">
      <x:c r="A349" s="42"/>
      <x:c r="B349" s="6"/>
      <x:c r="F349" s="30"/>
      <x:c r="G349" s="30"/>
      <x:c r="H349" s="30"/>
      <x:c r="I349" s="30"/>
      <x:c r="J349" s="30"/>
      <x:c r="K349" s="30"/>
      <x:c r="L349" s="30"/>
      <x:c r="M349" s="30"/>
    </x:row>
    <x:row r="350" ht="15.75" customHeight="1">
      <x:c r="A350" s="42"/>
      <x:c r="B350" s="6"/>
      <x:c r="F350" s="30"/>
      <x:c r="G350" s="30"/>
      <x:c r="H350" s="30"/>
      <x:c r="I350" s="30"/>
      <x:c r="J350" s="30"/>
      <x:c r="K350" s="30"/>
      <x:c r="L350" s="30"/>
      <x:c r="M350" s="30"/>
    </x:row>
    <x:row r="351" ht="15.75" customHeight="1">
      <x:c r="A351" s="42"/>
      <x:c r="B351" s="6"/>
      <x:c r="F351" s="30"/>
      <x:c r="G351" s="30"/>
      <x:c r="H351" s="30"/>
      <x:c r="I351" s="30"/>
      <x:c r="J351" s="30"/>
      <x:c r="K351" s="30"/>
      <x:c r="L351" s="30"/>
      <x:c r="M351" s="30"/>
    </x:row>
    <x:row r="352" ht="15.75" customHeight="1">
      <x:c r="A352" s="42"/>
      <x:c r="B352" s="6"/>
      <x:c r="F352" s="30"/>
      <x:c r="G352" s="30"/>
      <x:c r="H352" s="30"/>
      <x:c r="I352" s="30"/>
      <x:c r="J352" s="30"/>
      <x:c r="K352" s="30"/>
      <x:c r="L352" s="30"/>
      <x:c r="M352" s="30"/>
    </x:row>
    <x:row r="353" ht="15.75" customHeight="1">
      <x:c r="A353" s="42"/>
      <x:c r="B353" s="6"/>
      <x:c r="F353" s="30"/>
      <x:c r="G353" s="30"/>
      <x:c r="H353" s="30"/>
      <x:c r="I353" s="30"/>
      <x:c r="J353" s="30"/>
      <x:c r="K353" s="30"/>
      <x:c r="L353" s="30"/>
      <x:c r="M353" s="30"/>
    </x:row>
    <x:row r="354" ht="15.75" customHeight="1">
      <x:c r="A354" s="42"/>
      <x:c r="B354" s="6"/>
      <x:c r="F354" s="30"/>
      <x:c r="G354" s="30"/>
      <x:c r="H354" s="30"/>
      <x:c r="I354" s="30"/>
      <x:c r="J354" s="30"/>
      <x:c r="K354" s="30"/>
      <x:c r="L354" s="30"/>
      <x:c r="M354" s="30"/>
    </x:row>
    <x:row r="355" ht="15.75" customHeight="1">
      <x:c r="A355" s="42"/>
      <x:c r="B355" s="6"/>
      <x:c r="F355" s="30"/>
      <x:c r="G355" s="30"/>
      <x:c r="H355" s="30"/>
      <x:c r="I355" s="30"/>
      <x:c r="J355" s="30"/>
      <x:c r="K355" s="30"/>
      <x:c r="L355" s="30"/>
      <x:c r="M355" s="30"/>
    </x:row>
    <x:row r="356" ht="15.75" customHeight="1">
      <x:c r="A356" s="42"/>
      <x:c r="B356" s="6"/>
      <x:c r="F356" s="30"/>
      <x:c r="G356" s="30"/>
      <x:c r="H356" s="30"/>
      <x:c r="I356" s="30"/>
      <x:c r="J356" s="30"/>
      <x:c r="K356" s="30"/>
      <x:c r="L356" s="30"/>
      <x:c r="M356" s="30"/>
    </x:row>
    <x:row r="357" ht="15.75" customHeight="1">
      <x:c r="A357" s="42"/>
      <x:c r="B357" s="6"/>
      <x:c r="F357" s="30"/>
      <x:c r="G357" s="30"/>
      <x:c r="H357" s="30"/>
      <x:c r="I357" s="30"/>
      <x:c r="J357" s="30"/>
      <x:c r="K357" s="30"/>
      <x:c r="L357" s="30"/>
      <x:c r="M357" s="30"/>
    </x:row>
    <x:row r="358" ht="15.75" customHeight="1">
      <x:c r="A358" s="42"/>
      <x:c r="B358" s="6"/>
      <x:c r="F358" s="30"/>
      <x:c r="G358" s="30"/>
      <x:c r="H358" s="30"/>
      <x:c r="I358" s="30"/>
      <x:c r="J358" s="30"/>
      <x:c r="K358" s="30"/>
      <x:c r="L358" s="30"/>
      <x:c r="M358" s="30"/>
    </x:row>
    <x:row r="359" ht="15.75" customHeight="1">
      <x:c r="A359" s="42"/>
      <x:c r="B359" s="6"/>
      <x:c r="F359" s="30"/>
      <x:c r="G359" s="30"/>
      <x:c r="H359" s="30"/>
      <x:c r="I359" s="30"/>
      <x:c r="J359" s="30"/>
      <x:c r="K359" s="30"/>
      <x:c r="L359" s="30"/>
      <x:c r="M359" s="30"/>
    </x:row>
    <x:row r="360" ht="15.75" customHeight="1">
      <x:c r="A360" s="42"/>
      <x:c r="B360" s="6"/>
      <x:c r="F360" s="30"/>
      <x:c r="G360" s="30"/>
      <x:c r="H360" s="30"/>
      <x:c r="I360" s="30"/>
      <x:c r="J360" s="30"/>
      <x:c r="K360" s="30"/>
      <x:c r="L360" s="30"/>
      <x:c r="M360" s="30"/>
    </x:row>
    <x:row r="361" ht="15.75" customHeight="1">
      <x:c r="B361" s="36"/>
    </x:row>
    <x:row r="362" ht="15.75" customHeight="1">
      <x:c r="B362" s="36"/>
    </x:row>
    <x:row r="363" ht="15.75" customHeight="1">
      <x:c r="B363" s="36"/>
    </x:row>
    <x:row r="364" ht="15.75" customHeight="1">
      <x:c r="B364" s="36"/>
    </x:row>
    <x:row r="365" ht="15.75" customHeight="1">
      <x:c r="B365" s="36"/>
    </x:row>
    <x:row r="366" ht="15.75" customHeight="1">
      <x:c r="B366" s="36"/>
    </x:row>
    <x:row r="367" ht="15.75" customHeight="1">
      <x:c r="B367" s="36"/>
    </x:row>
    <x:row r="368" ht="15.75" customHeight="1">
      <x:c r="B368" s="36"/>
    </x:row>
    <x:row r="369" ht="15.75" customHeight="1">
      <x:c r="B369" s="36"/>
    </x:row>
    <x:row r="370" ht="15.75" customHeight="1">
      <x:c r="B370" s="36"/>
    </x:row>
    <x:row r="371" ht="15.75" customHeight="1">
      <x:c r="B371" s="36"/>
    </x:row>
    <x:row r="372" ht="15.75" customHeight="1">
      <x:c r="B372" s="36"/>
    </x:row>
    <x:row r="373" ht="15.75" customHeight="1">
      <x:c r="B373" s="36"/>
    </x:row>
    <x:row r="374" ht="15.75" customHeight="1">
      <x:c r="B374" s="36"/>
    </x:row>
    <x:row r="375" ht="15.75" customHeight="1">
      <x:c r="B375" s="36"/>
    </x:row>
    <x:row r="376" ht="15.75" customHeight="1">
      <x:c r="B376" s="36"/>
    </x:row>
    <x:row r="377" ht="15.75" customHeight="1">
      <x:c r="B377" s="36"/>
    </x:row>
    <x:row r="378" ht="15.75" customHeight="1">
      <x:c r="B378" s="36"/>
    </x:row>
    <x:row r="379" ht="15.75" customHeight="1">
      <x:c r="B379" s="36"/>
    </x:row>
    <x:row r="380" ht="15.75" customHeight="1">
      <x:c r="B380" s="36"/>
    </x:row>
    <x:row r="381" ht="15.75" customHeight="1">
      <x:c r="B381" s="36"/>
    </x:row>
    <x:row r="382" ht="15.75" customHeight="1">
      <x:c r="B382" s="36"/>
    </x:row>
    <x:row r="383" ht="15.75" customHeight="1">
      <x:c r="B383" s="36"/>
    </x:row>
    <x:row r="384" ht="15.75" customHeight="1">
      <x:c r="B384" s="36"/>
    </x:row>
    <x:row r="385" ht="15.75" customHeight="1">
      <x:c r="B385" s="36"/>
    </x:row>
    <x:row r="386" ht="15.75" customHeight="1">
      <x:c r="B386" s="36"/>
    </x:row>
    <x:row r="387" ht="15.75" customHeight="1">
      <x:c r="B387" s="36"/>
    </x:row>
    <x:row r="388" ht="15.75" customHeight="1">
      <x:c r="B388" s="36"/>
    </x:row>
    <x:row r="389" ht="15.75" customHeight="1">
      <x:c r="B389" s="36"/>
    </x:row>
    <x:row r="390" ht="15.75" customHeight="1">
      <x:c r="B390" s="36"/>
    </x:row>
    <x:row r="391" ht="15.75" customHeight="1">
      <x:c r="B391" s="36"/>
    </x:row>
    <x:row r="392" ht="15.75" customHeight="1">
      <x:c r="B392" s="36"/>
    </x:row>
    <x:row r="393" ht="15.75" customHeight="1">
      <x:c r="B393" s="36"/>
    </x:row>
    <x:row r="394" ht="15.75" customHeight="1">
      <x:c r="B394" s="36"/>
    </x:row>
    <x:row r="395" ht="15.75" customHeight="1">
      <x:c r="B395" s="36"/>
    </x:row>
    <x:row r="396" ht="15.75" customHeight="1">
      <x:c r="B396" s="36"/>
    </x:row>
    <x:row r="397" ht="15.75" customHeight="1">
      <x:c r="B397" s="36"/>
    </x:row>
    <x:row r="398" ht="15.75" customHeight="1">
      <x:c r="B398" s="36"/>
    </x:row>
    <x:row r="399" ht="15.75" customHeight="1">
      <x:c r="B399" s="36"/>
    </x:row>
    <x:row r="400" ht="15.75" customHeight="1">
      <x:c r="B400" s="36"/>
    </x:row>
    <x:row r="401" ht="15.75" customHeight="1">
      <x:c r="B401" s="36"/>
    </x:row>
    <x:row r="402" ht="15.75" customHeight="1">
      <x:c r="B402" s="36"/>
    </x:row>
    <x:row r="403" ht="15.75" customHeight="1">
      <x:c r="B403" s="36"/>
    </x:row>
    <x:row r="404" ht="15.75" customHeight="1">
      <x:c r="B404" s="36"/>
    </x:row>
    <x:row r="405" ht="15.75" customHeight="1">
      <x:c r="B405" s="36"/>
    </x:row>
    <x:row r="406" ht="15.75" customHeight="1">
      <x:c r="B406" s="36"/>
    </x:row>
    <x:row r="407" ht="15.75" customHeight="1">
      <x:c r="B407" s="36"/>
    </x:row>
    <x:row r="408" ht="15.75" customHeight="1">
      <x:c r="B408" s="36"/>
    </x:row>
    <x:row r="409" ht="15.75" customHeight="1">
      <x:c r="B409" s="36"/>
    </x:row>
    <x:row r="410" ht="15.75" customHeight="1">
      <x:c r="B410" s="36"/>
    </x:row>
    <x:row r="411" ht="15.75" customHeight="1">
      <x:c r="B411" s="36"/>
    </x:row>
    <x:row r="412" ht="15.75" customHeight="1">
      <x:c r="B412" s="36"/>
    </x:row>
    <x:row r="413" ht="15.75" customHeight="1">
      <x:c r="B413" s="36"/>
    </x:row>
    <x:row r="414" ht="15.75" customHeight="1">
      <x:c r="B414" s="36"/>
    </x:row>
    <x:row r="415" ht="15.75" customHeight="1">
      <x:c r="B415" s="36"/>
    </x:row>
    <x:row r="416" ht="15.75" customHeight="1">
      <x:c r="B416" s="36"/>
    </x:row>
    <x:row r="417" ht="15.75" customHeight="1">
      <x:c r="B417" s="36"/>
    </x:row>
    <x:row r="418" ht="15.75" customHeight="1">
      <x:c r="B418" s="36"/>
    </x:row>
    <x:row r="419" ht="15.75" customHeight="1">
      <x:c r="B419" s="36"/>
    </x:row>
    <x:row r="420" ht="15.75" customHeight="1">
      <x:c r="B420" s="36"/>
    </x:row>
    <x:row r="421" ht="15.75" customHeight="1">
      <x:c r="B421" s="36"/>
    </x:row>
    <x:row r="422" ht="15.75" customHeight="1">
      <x:c r="B422" s="36"/>
    </x:row>
    <x:row r="423" ht="15.75" customHeight="1">
      <x:c r="B423" s="36"/>
    </x:row>
    <x:row r="424" ht="15.75" customHeight="1">
      <x:c r="B424" s="36"/>
    </x:row>
    <x:row r="425" ht="15.75" customHeight="1">
      <x:c r="B425" s="36"/>
    </x:row>
    <x:row r="426" ht="15.75" customHeight="1">
      <x:c r="B426" s="36"/>
    </x:row>
    <x:row r="427" ht="15.75" customHeight="1">
      <x:c r="B427" s="36"/>
    </x:row>
    <x:row r="428" ht="15.75" customHeight="1">
      <x:c r="B428" s="36"/>
    </x:row>
    <x:row r="429" ht="15.75" customHeight="1">
      <x:c r="B429" s="36"/>
    </x:row>
    <x:row r="430" ht="15.75" customHeight="1">
      <x:c r="B430" s="36"/>
    </x:row>
    <x:row r="431" ht="15.75" customHeight="1">
      <x:c r="B431" s="36"/>
    </x:row>
    <x:row r="432" ht="15.75" customHeight="1">
      <x:c r="B432" s="36"/>
    </x:row>
    <x:row r="433" ht="15.75" customHeight="1">
      <x:c r="B433" s="36"/>
    </x:row>
    <x:row r="434" ht="15.75" customHeight="1">
      <x:c r="B434" s="36"/>
    </x:row>
    <x:row r="435" ht="15.75" customHeight="1">
      <x:c r="B435" s="36"/>
    </x:row>
    <x:row r="436" ht="15.75" customHeight="1">
      <x:c r="B436" s="36"/>
    </x:row>
    <x:row r="437" ht="15.75" customHeight="1">
      <x:c r="B437" s="36"/>
    </x:row>
    <x:row r="438" ht="15.75" customHeight="1">
      <x:c r="B438" s="36"/>
    </x:row>
    <x:row r="439" ht="15.75" customHeight="1">
      <x:c r="B439" s="36"/>
    </x:row>
    <x:row r="440" ht="15.75" customHeight="1">
      <x:c r="B440" s="36"/>
    </x:row>
    <x:row r="441" ht="15.75" customHeight="1">
      <x:c r="B441" s="36"/>
    </x:row>
    <x:row r="442" ht="15.75" customHeight="1">
      <x:c r="B442" s="36"/>
    </x:row>
    <x:row r="443" ht="15.75" customHeight="1">
      <x:c r="B443" s="36"/>
    </x:row>
    <x:row r="444" ht="15.75" customHeight="1">
      <x:c r="B444" s="36"/>
    </x:row>
    <x:row r="445" ht="15.75" customHeight="1">
      <x:c r="B445" s="36"/>
    </x:row>
    <x:row r="446" ht="15.75" customHeight="1">
      <x:c r="B446" s="36"/>
    </x:row>
    <x:row r="447" ht="15.75" customHeight="1">
      <x:c r="B447" s="36"/>
    </x:row>
    <x:row r="448" ht="15.75" customHeight="1">
      <x:c r="B448" s="36"/>
    </x:row>
    <x:row r="449" ht="15.75" customHeight="1">
      <x:c r="B449" s="36"/>
    </x:row>
    <x:row r="450" ht="15.75" customHeight="1">
      <x:c r="B450" s="36"/>
    </x:row>
    <x:row r="451" ht="15.75" customHeight="1">
      <x:c r="B451" s="36"/>
    </x:row>
    <x:row r="452" ht="15.75" customHeight="1">
      <x:c r="B452" s="36"/>
    </x:row>
    <x:row r="453" ht="15.75" customHeight="1">
      <x:c r="B453" s="36"/>
    </x:row>
    <x:row r="454" ht="15.75" customHeight="1">
      <x:c r="B454" s="36"/>
    </x:row>
    <x:row r="455" ht="15.75" customHeight="1">
      <x:c r="B455" s="36"/>
    </x:row>
    <x:row r="456" ht="15.75" customHeight="1">
      <x:c r="B456" s="36"/>
    </x:row>
    <x:row r="457" ht="15.75" customHeight="1">
      <x:c r="B457" s="36"/>
    </x:row>
    <x:row r="458" ht="15.75" customHeight="1">
      <x:c r="B458" s="36"/>
    </x:row>
    <x:row r="459" ht="15.75" customHeight="1">
      <x:c r="B459" s="36"/>
    </x:row>
    <x:row r="460" ht="15.75" customHeight="1">
      <x:c r="B460" s="36"/>
    </x:row>
    <x:row r="461" ht="15.75" customHeight="1">
      <x:c r="B461" s="36"/>
    </x:row>
    <x:row r="462" ht="15.75" customHeight="1">
      <x:c r="B462" s="36"/>
    </x:row>
    <x:row r="463" ht="15.75" customHeight="1">
      <x:c r="B463" s="36"/>
    </x:row>
    <x:row r="464" ht="15.75" customHeight="1">
      <x:c r="B464" s="36"/>
    </x:row>
    <x:row r="465" ht="15.75" customHeight="1">
      <x:c r="B465" s="36"/>
    </x:row>
    <x:row r="466" ht="15.75" customHeight="1">
      <x:c r="B466" s="36"/>
    </x:row>
    <x:row r="467" ht="15.75" customHeight="1">
      <x:c r="B467" s="36"/>
    </x:row>
    <x:row r="468" ht="15.75" customHeight="1">
      <x:c r="B468" s="36"/>
    </x:row>
    <x:row r="469" ht="15.75" customHeight="1">
      <x:c r="B469" s="36"/>
    </x:row>
    <x:row r="470" ht="15.75" customHeight="1">
      <x:c r="B470" s="36"/>
    </x:row>
    <x:row r="471" ht="15.75" customHeight="1">
      <x:c r="B471" s="36"/>
    </x:row>
    <x:row r="472" ht="15.75" customHeight="1">
      <x:c r="B472" s="36"/>
    </x:row>
    <x:row r="473" ht="15.75" customHeight="1">
      <x:c r="B473" s="36"/>
    </x:row>
    <x:row r="474" ht="15.75" customHeight="1">
      <x:c r="B474" s="36"/>
    </x:row>
    <x:row r="475" ht="15.75" customHeight="1">
      <x:c r="B475" s="36"/>
    </x:row>
    <x:row r="476" ht="15.75" customHeight="1">
      <x:c r="B476" s="36"/>
    </x:row>
    <x:row r="477" ht="15.75" customHeight="1">
      <x:c r="B477" s="36"/>
    </x:row>
    <x:row r="478" ht="15.75" customHeight="1">
      <x:c r="B478" s="36"/>
    </x:row>
    <x:row r="479" ht="15.75" customHeight="1">
      <x:c r="B479" s="36"/>
    </x:row>
    <x:row r="480" ht="15.75" customHeight="1">
      <x:c r="B480" s="36"/>
    </x:row>
    <x:row r="481" ht="15.75" customHeight="1">
      <x:c r="B481" s="36"/>
    </x:row>
    <x:row r="482" ht="15.75" customHeight="1">
      <x:c r="B482" s="36"/>
    </x:row>
    <x:row r="483" ht="15.75" customHeight="1">
      <x:c r="B483" s="36"/>
    </x:row>
    <x:row r="484" ht="15.75" customHeight="1">
      <x:c r="B484" s="36"/>
    </x:row>
    <x:row r="485" ht="15.75" customHeight="1">
      <x:c r="B485" s="36"/>
    </x:row>
    <x:row r="486" ht="15.75" customHeight="1">
      <x:c r="B486" s="36"/>
    </x:row>
    <x:row r="487" ht="15.75" customHeight="1">
      <x:c r="B487" s="36"/>
    </x:row>
    <x:row r="488" ht="15.75" customHeight="1">
      <x:c r="B488" s="36"/>
    </x:row>
    <x:row r="489" ht="15.75" customHeight="1">
      <x:c r="B489" s="36"/>
    </x:row>
    <x:row r="490" ht="15.75" customHeight="1">
      <x:c r="B490" s="36"/>
    </x:row>
    <x:row r="491" ht="15.75" customHeight="1">
      <x:c r="B491" s="36"/>
    </x:row>
    <x:row r="492" ht="15.75" customHeight="1">
      <x:c r="B492" s="36"/>
    </x:row>
    <x:row r="493" ht="15.75" customHeight="1">
      <x:c r="B493" s="36"/>
    </x:row>
    <x:row r="494" ht="15.75" customHeight="1">
      <x:c r="B494" s="36"/>
    </x:row>
    <x:row r="495" ht="15.75" customHeight="1">
      <x:c r="B495" s="36"/>
    </x:row>
    <x:row r="496" ht="15.75" customHeight="1">
      <x:c r="B496" s="36"/>
    </x:row>
    <x:row r="497" ht="15.75" customHeight="1">
      <x:c r="B497" s="36"/>
    </x:row>
    <x:row r="498" ht="15.75" customHeight="1">
      <x:c r="B498" s="36"/>
    </x:row>
    <x:row r="499" ht="15.75" customHeight="1">
      <x:c r="B499" s="36"/>
    </x:row>
    <x:row r="500" ht="15.75" customHeight="1">
      <x:c r="B500" s="36"/>
    </x:row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B2:B500">
      <x:formula1>Metric_Dictionary!$A$2:$A$200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24" customWidth="1"/>
    <x:col min="2" max="2" width="26" customWidth="1"/>
    <x:col min="3" max="3" width="15" customWidth="1"/>
    <x:col min="4" max="4" width="10" customWidth="1"/>
    <x:col min="5" max="5" width="11" customWidth="1"/>
    <x:col min="6" max="6" width="16" customWidth="1"/>
    <x:col min="7" max="10" width="12" customWidth="1"/>
    <x:col min="11" max="11" width="10" customWidth="1"/>
    <x:col min="12" max="12" width="38" customWidth="1"/>
    <x:col min="13" max="13" width="8.630000114440918" customWidth="1"/>
    <x:col min="14" max="14" width="18" customWidth="1"/>
    <x:col min="15" max="15" width="34" customWidth="1"/>
    <x:col min="16" max="16" width="24" customWidth="1"/>
    <x:col min="17" max="25" width="8.630000114440918" customWidth="1"/>
  </x:cols>
  <x:sheetData>
    <x:row r="1" ht="21.75" customHeight="1">
      <x:c r="A1" s="9" t="s">
        <x:v>70</x:v>
      </x:c>
      <x:c r="B1" s="10" t="s">
        <x:v>71</x:v>
      </x:c>
      <x:c r="C1" s="11" t="s">
        <x:v>72</x:v>
      </x:c>
      <x:c r="D1" s="11" t="s">
        <x:v>73</x:v>
      </x:c>
      <x:c r="E1" s="11" t="s">
        <x:v>74</x:v>
      </x:c>
      <x:c r="F1" s="11" t="s">
        <x:v>75</x:v>
      </x:c>
      <x:c r="G1" s="11" t="s">
        <x:v>76</x:v>
      </x:c>
      <x:c r="H1" s="11" t="s">
        <x:v>77</x:v>
      </x:c>
      <x:c r="I1" s="11" t="s">
        <x:v>78</x:v>
      </x:c>
      <x:c r="J1" s="11" t="s">
        <x:v>79</x:v>
      </x:c>
      <x:c r="K1" s="11" t="s">
        <x:v>5</x:v>
      </x:c>
      <x:c r="L1" s="11" t="s">
        <x:v>80</x:v>
      </x:c>
      <x:c r="M1" s="5"/>
      <x:c r="N1" s="13" t="s">
        <x:v>81</x:v>
      </x:c>
      <x:c r="Q1" s="5"/>
      <x:c r="R1" s="5"/>
      <x:c r="S1" s="5"/>
      <x:c r="T1" s="5"/>
      <x:c r="U1" s="5"/>
      <x:c r="V1" s="5"/>
      <x:c r="W1" s="5"/>
      <x:c r="X1" s="5"/>
      <x:c r="Y1" s="5"/>
    </x:row>
    <x:row r="2" ht="36" customHeight="1">
      <x:c r="A2" s="15" t="s">
        <x:v>9</x:v>
      </x:c>
      <x:c r="B2" s="16" t="s">
        <x:v>16</x:v>
      </x:c>
      <x:c r="C2" s="16" t="s">
        <x:v>82</x:v>
      </x:c>
      <x:c r="D2" s="18">
        <x:v>33.33</x:v>
      </x:c>
      <x:c r="E2" s="19" t="s">
        <x:v>83</x:v>
      </x:c>
      <x:c r="F2" s="20"/>
      <x:c r="G2" s="21">
        <x:v>0.0</x:v>
      </x:c>
      <x:c r="H2" s="21">
        <x:v>100.0</x:v>
      </x:c>
      <x:c r="I2" s="20" t="s">
        <x:v>14</x:v>
      </x:c>
      <x:c r="J2" s="20" t="s">
        <x:v>14</x:v>
      </x:c>
      <x:c r="K2" s="20">
        <x:v>1.0</x:v>
      </x:c>
      <x:c r="L2" s="20" t="s">
        <x:v>84</x:v>
      </x:c>
      <x:c r="N2" s="22" t="s">
        <x:v>85</x:v>
      </x:c>
      <x:c r="O2" s="22" t="s">
        <x:v>86</x:v>
      </x:c>
      <x:c r="P2" s="22" t="s">
        <x:v>87</x:v>
      </x:c>
    </x:row>
    <x:row r="3" ht="36" customHeight="1">
      <x:c r="A3" s="23" t="s">
        <x:v>9</x:v>
      </x:c>
      <x:c r="B3" s="24" t="s">
        <x:v>20</x:v>
      </x:c>
      <x:c r="C3" s="24" t="s">
        <x:v>82</x:v>
      </x:c>
      <x:c r="D3" s="18">
        <x:v>33.33</x:v>
      </x:c>
      <x:c r="E3" s="19" t="s">
        <x:v>83</x:v>
      </x:c>
      <x:c r="F3" s="20"/>
      <x:c r="G3" s="21">
        <x:v>0.0</x:v>
      </x:c>
      <x:c r="H3" s="21">
        <x:v>100.0</x:v>
      </x:c>
      <x:c r="I3" s="20" t="s">
        <x:v>14</x:v>
      </x:c>
      <x:c r="J3" s="20" t="s">
        <x:v>14</x:v>
      </x:c>
      <x:c r="K3" s="20">
        <x:v>2.0</x:v>
      </x:c>
      <x:c r="L3" s="20" t="s">
        <x:v>88</x:v>
      </x:c>
      <x:c r="N3" s="25" t="s">
        <x:v>73</x:v>
      </x:c>
      <x:c r="O3" s="25" t="s">
        <x:v>89</x:v>
      </x:c>
      <x:c r="P3" s="25" t="s">
        <x:v>90</x:v>
      </x:c>
    </x:row>
    <x:row r="4" ht="36" customHeight="1">
      <x:c r="A4" s="26" t="s">
        <x:v>9</x:v>
      </x:c>
      <x:c r="B4" s="27" t="s">
        <x:v>24</x:v>
      </x:c>
      <x:c r="C4" s="27" t="s">
        <x:v>82</x:v>
      </x:c>
      <x:c r="D4" s="18">
        <x:v>33.34</x:v>
      </x:c>
      <x:c r="E4" s="19" t="s">
        <x:v>83</x:v>
      </x:c>
      <x:c r="F4" s="20"/>
      <x:c r="G4" s="21">
        <x:v>0.0</x:v>
      </x:c>
      <x:c r="H4" s="21">
        <x:v>100.0</x:v>
      </x:c>
      <x:c r="I4" s="20" t="s">
        <x:v>14</x:v>
      </x:c>
      <x:c r="J4" s="20" t="s">
        <x:v>14</x:v>
      </x:c>
      <x:c r="K4" s="20">
        <x:v>3.0</x:v>
      </x:c>
      <x:c r="L4" s="20" t="s">
        <x:v>91</x:v>
      </x:c>
      <x:c r="N4" s="25" t="s">
        <x:v>74</x:v>
      </x:c>
      <x:c r="O4" s="25" t="s">
        <x:v>92</x:v>
      </x:c>
      <x:c r="P4" s="25" t="s">
        <x:v>83</x:v>
      </x:c>
    </x:row>
    <x:row r="5" ht="36" customHeight="1">
      <x:c r="A5" s="23" t="s">
        <x:v>16</x:v>
      </x:c>
      <x:c r="B5" s="24" t="s">
        <x:v>28</x:v>
      </x:c>
      <x:c r="C5" s="24" t="s">
        <x:v>93</x:v>
      </x:c>
      <x:c r="D5" s="28">
        <x:v>33.33</x:v>
      </x:c>
      <x:c r="E5" s="19" t="s">
        <x:v>83</x:v>
      </x:c>
      <x:c r="F5" s="20"/>
      <x:c r="G5" s="21">
        <x:v>0.0</x:v>
      </x:c>
      <x:c r="H5" s="29">
        <x:v>100.0</x:v>
      </x:c>
      <x:c r="I5" s="20" t="s">
        <x:v>14</x:v>
      </x:c>
      <x:c r="J5" s="20" t="s">
        <x:v>14</x:v>
      </x:c>
      <x:c r="K5" s="20">
        <x:v>1.0</x:v>
      </x:c>
      <x:c r="L5" s="20" t="s">
        <x:v>94</x:v>
      </x:c>
      <x:c r="N5" s="25" t="s">
        <x:v>75</x:v>
      </x:c>
      <x:c r="O5" s="25" t="s">
        <x:v>95</x:v>
      </x:c>
      <x:c r="P5" s="25" t="s">
        <x:v>96</x:v>
      </x:c>
    </x:row>
    <x:row r="6" ht="36" customHeight="1">
      <x:c r="A6" s="26" t="s">
        <x:v>16</x:v>
      </x:c>
      <x:c r="B6" s="27" t="s">
        <x:v>34</x:v>
      </x:c>
      <x:c r="C6" s="27" t="s">
        <x:v>93</x:v>
      </x:c>
      <x:c r="D6" s="28">
        <x:v>33.33</x:v>
      </x:c>
      <x:c r="E6" s="19" t="s">
        <x:v>83</x:v>
      </x:c>
      <x:c r="F6" s="20"/>
      <x:c r="G6" s="21">
        <x:v>0.0</x:v>
      </x:c>
      <x:c r="H6" s="21">
        <x:v>101000.0</x:v>
      </x:c>
      <x:c r="I6" s="20" t="s">
        <x:v>14</x:v>
      </x:c>
      <x:c r="J6" s="20" t="s">
        <x:v>14</x:v>
      </x:c>
      <x:c r="K6" s="20">
        <x:v>2.0</x:v>
      </x:c>
      <x:c r="L6" s="20" t="s">
        <x:v>94</x:v>
      </x:c>
      <x:c r="N6" s="25" t="s">
        <x:v>96</x:v>
      </x:c>
      <x:c r="O6" s="25" t="s">
        <x:v>97</x:v>
      </x:c>
      <x:c r="P6" s="25" t="s">
        <x:v>98</x:v>
      </x:c>
    </x:row>
    <x:row r="7" ht="36" customHeight="1">
      <x:c r="A7" s="23" t="s">
        <x:v>16</x:v>
      </x:c>
      <x:c r="B7" s="24" t="s">
        <x:v>39</x:v>
      </x:c>
      <x:c r="C7" s="24" t="s">
        <x:v>93</x:v>
      </x:c>
      <x:c r="D7" s="28">
        <x:v>33.34</x:v>
      </x:c>
      <x:c r="E7" s="19" t="s">
        <x:v>83</x:v>
      </x:c>
      <x:c r="F7" s="20"/>
      <x:c r="G7" s="21">
        <x:v>0.0</x:v>
      </x:c>
      <x:c r="H7" s="21">
        <x:v>45.0</x:v>
      </x:c>
      <x:c r="I7" s="20" t="s">
        <x:v>14</x:v>
      </x:c>
      <x:c r="J7" s="20" t="s">
        <x:v>14</x:v>
      </x:c>
      <x:c r="K7" s="20">
        <x:v>3.0</x:v>
      </x:c>
      <x:c r="L7" s="20" t="s">
        <x:v>94</x:v>
      </x:c>
      <x:c r="N7" s="25" t="s">
        <x:v>78</x:v>
      </x:c>
      <x:c r="O7" s="25" t="s">
        <x:v>99</x:v>
      </x:c>
      <x:c r="P7" s="25" t="s">
        <x:v>14</x:v>
      </x:c>
    </x:row>
    <x:row r="8" ht="36" customHeight="1">
      <x:c r="A8" s="26" t="s">
        <x:v>20</x:v>
      </x:c>
      <x:c r="B8" s="27" t="s">
        <x:v>43</x:v>
      </x:c>
      <x:c r="C8" s="27" t="s">
        <x:v>93</x:v>
      </x:c>
      <x:c r="D8" s="18">
        <x:v>33.33</x:v>
      </x:c>
      <x:c r="E8" s="19" t="s">
        <x:v>83</x:v>
      </x:c>
      <x:c r="F8" s="20"/>
      <x:c r="G8" s="21">
        <x:v>0.0</x:v>
      </x:c>
      <x:c r="H8" s="21">
        <x:v>50.0</x:v>
      </x:c>
      <x:c r="I8" s="20" t="s">
        <x:v>14</x:v>
      </x:c>
      <x:c r="J8" s="20" t="s">
        <x:v>14</x:v>
      </x:c>
      <x:c r="K8" s="20">
        <x:v>1.0</x:v>
      </x:c>
      <x:c r="L8" s="20" t="s">
        <x:v>94</x:v>
      </x:c>
      <x:c r="N8" s="25" t="s">
        <x:v>79</x:v>
      </x:c>
      <x:c r="O8" s="25" t="s">
        <x:v>100</x:v>
      </x:c>
      <x:c r="P8" s="25" t="s">
        <x:v>14</x:v>
      </x:c>
    </x:row>
    <x:row r="9" ht="36" customHeight="1">
      <x:c r="A9" s="23" t="s">
        <x:v>20</x:v>
      </x:c>
      <x:c r="B9" s="24" t="s">
        <x:v>48</x:v>
      </x:c>
      <x:c r="C9" s="24" t="s">
        <x:v>93</x:v>
      </x:c>
      <x:c r="D9" s="18">
        <x:v>33.33</x:v>
      </x:c>
      <x:c r="E9" s="19" t="s">
        <x:v>83</x:v>
      </x:c>
      <x:c r="F9" s="20"/>
      <x:c r="G9" s="21">
        <x:v>0.0</x:v>
      </x:c>
      <x:c r="H9" s="21">
        <x:v>80.0</x:v>
      </x:c>
      <x:c r="I9" s="20" t="s">
        <x:v>14</x:v>
      </x:c>
      <x:c r="J9" s="20" t="s">
        <x:v>14</x:v>
      </x:c>
      <x:c r="K9" s="20">
        <x:v>2.0</x:v>
      </x:c>
      <x:c r="L9" s="20" t="s">
        <x:v>94</x:v>
      </x:c>
      <x:c r="N9" s="25"/>
      <x:c r="O9" s="25"/>
      <x:c r="P9" s="25"/>
    </x:row>
    <x:row r="10" ht="36" customHeight="1">
      <x:c r="A10" s="26" t="s">
        <x:v>20</x:v>
      </x:c>
      <x:c r="B10" s="27" t="s">
        <x:v>51</x:v>
      </x:c>
      <x:c r="C10" s="27" t="s">
        <x:v>93</x:v>
      </x:c>
      <x:c r="D10" s="18">
        <x:v>33.34</x:v>
      </x:c>
      <x:c r="E10" s="19" t="s">
        <x:v>83</x:v>
      </x:c>
      <x:c r="F10" s="20"/>
      <x:c r="G10" s="21">
        <x:v>0.0</x:v>
      </x:c>
      <x:c r="H10" s="21">
        <x:v>4.0</x:v>
      </x:c>
      <x:c r="I10" s="20" t="s">
        <x:v>14</x:v>
      </x:c>
      <x:c r="J10" s="20" t="s">
        <x:v>14</x:v>
      </x:c>
      <x:c r="K10" s="20">
        <x:v>3.0</x:v>
      </x:c>
      <x:c r="L10" s="20" t="s">
        <x:v>94</x:v>
      </x:c>
      <x:c r="N10" s="33" t="s">
        <x:v>101</x:v>
      </x:c>
    </x:row>
    <x:row r="11" ht="36" customHeight="1">
      <x:c r="A11" s="23" t="s">
        <x:v>24</x:v>
      </x:c>
      <x:c r="B11" s="24" t="s">
        <x:v>55</x:v>
      </x:c>
      <x:c r="C11" s="24" t="s">
        <x:v>93</x:v>
      </x:c>
      <x:c r="D11" s="18">
        <x:v>33.33</x:v>
      </x:c>
      <x:c r="E11" s="19" t="s">
        <x:v>83</x:v>
      </x:c>
      <x:c r="F11" s="20"/>
      <x:c r="G11" s="21">
        <x:v>0.0</x:v>
      </x:c>
      <x:c r="H11" s="21">
        <x:v>55.0</x:v>
      </x:c>
      <x:c r="I11" s="20" t="s">
        <x:v>14</x:v>
      </x:c>
      <x:c r="J11" s="20" t="s">
        <x:v>14</x:v>
      </x:c>
      <x:c r="K11" s="20">
        <x:v>1.0</x:v>
      </x:c>
      <x:c r="L11" s="20" t="s">
        <x:v>94</x:v>
      </x:c>
      <x:c r="N11" s="22" t="s">
        <x:v>102</x:v>
      </x:c>
      <x:c r="O11" s="22" t="s">
        <x:v>103</x:v>
      </x:c>
      <x:c r="P11" s="22" t="s">
        <x:v>104</x:v>
      </x:c>
    </x:row>
    <x:row r="12" ht="36" customHeight="1">
      <x:c r="A12" s="26" t="s">
        <x:v>24</x:v>
      </x:c>
      <x:c r="B12" s="27" t="s">
        <x:v>60</x:v>
      </x:c>
      <x:c r="C12" s="27" t="s">
        <x:v>93</x:v>
      </x:c>
      <x:c r="D12" s="18">
        <x:v>33.33</x:v>
      </x:c>
      <x:c r="E12" s="19" t="s">
        <x:v>83</x:v>
      </x:c>
      <x:c r="F12" s="20"/>
      <x:c r="G12" s="21">
        <x:v>0.0</x:v>
      </x:c>
      <x:c r="H12" s="21">
        <x:v>18.0</x:v>
      </x:c>
      <x:c r="I12" s="20" t="s">
        <x:v>14</x:v>
      </x:c>
      <x:c r="J12" s="20" t="s">
        <x:v>14</x:v>
      </x:c>
      <x:c r="K12" s="20">
        <x:v>2.0</x:v>
      </x:c>
      <x:c r="L12" s="20" t="s">
        <x:v>94</x:v>
      </x:c>
      <x:c r="N12" s="25" t="s">
        <x:v>96</x:v>
      </x:c>
      <x:c r="O12" s="25" t="s">
        <x:v>105</x:v>
      </x:c>
      <x:c r="P12" s="25" t="s">
        <x:v>106</x:v>
      </x:c>
    </x:row>
    <x:row r="13" ht="36" customHeight="1">
      <x:c r="A13" s="23" t="s">
        <x:v>24</x:v>
      </x:c>
      <x:c r="B13" s="24" t="s">
        <x:v>64</x:v>
      </x:c>
      <x:c r="C13" s="24" t="s">
        <x:v>93</x:v>
      </x:c>
      <x:c r="D13" s="18">
        <x:v>33.34</x:v>
      </x:c>
      <x:c r="E13" s="19" t="s">
        <x:v>83</x:v>
      </x:c>
      <x:c r="F13" s="20"/>
      <x:c r="G13" s="21">
        <x:v>0.0</x:v>
      </x:c>
      <x:c r="H13" s="21">
        <x:v>12.0</x:v>
      </x:c>
      <x:c r="I13" s="20" t="s">
        <x:v>14</x:v>
      </x:c>
      <x:c r="J13" s="20" t="s">
        <x:v>14</x:v>
      </x:c>
      <x:c r="K13" s="20">
        <x:v>3.0</x:v>
      </x:c>
      <x:c r="L13" s="20" t="s">
        <x:v>94</x:v>
      </x:c>
      <x:c r="N13" s="25" t="s">
        <x:v>107</x:v>
      </x:c>
      <x:c r="O13" s="25" t="s">
        <x:v>108</x:v>
      </x:c>
      <x:c r="P13" s="25" t="s">
        <x:v>109</x:v>
      </x:c>
    </x:row>
    <x:row r="14">
      <x:c r="A14" s="34"/>
      <x:c r="B14" s="35"/>
      <x:c r="C14" s="35"/>
      <x:c r="E14" s="36"/>
      <x:c r="F14" s="30"/>
      <x:c r="G14" s="30"/>
      <x:c r="H14" s="30"/>
      <x:c r="I14" s="30"/>
      <x:c r="J14" s="30"/>
      <x:c r="K14" s="30"/>
      <x:c r="L14" s="30"/>
    </x:row>
    <x:row r="15">
      <x:c r="A15" s="31"/>
      <x:c r="B15" s="32"/>
      <x:c r="C15" s="32"/>
      <x:c r="E15" s="36"/>
      <x:c r="F15" s="30"/>
      <x:c r="G15" s="30"/>
      <x:c r="H15" s="30"/>
      <x:c r="I15" s="30"/>
      <x:c r="J15" s="30"/>
      <x:c r="K15" s="30"/>
      <x:c r="L15" s="30"/>
    </x:row>
    <x:row r="16">
      <x:c r="A16" s="34"/>
      <x:c r="B16" s="35"/>
      <x:c r="C16" s="35"/>
      <x:c r="E16" s="36"/>
      <x:c r="F16" s="30"/>
      <x:c r="G16" s="30"/>
      <x:c r="H16" s="30"/>
      <x:c r="I16" s="30"/>
      <x:c r="J16" s="30"/>
      <x:c r="K16" s="30"/>
      <x:c r="L16" s="30"/>
    </x:row>
    <x:row r="17">
      <x:c r="A17" s="31"/>
      <x:c r="B17" s="32"/>
      <x:c r="C17" s="32"/>
      <x:c r="E17" s="36"/>
      <x:c r="F17" s="30"/>
      <x:c r="G17" s="30"/>
      <x:c r="H17" s="30"/>
      <x:c r="I17" s="30"/>
      <x:c r="J17" s="30"/>
      <x:c r="K17" s="30"/>
      <x:c r="L17" s="30"/>
    </x:row>
    <x:row r="18">
      <x:c r="A18" s="34"/>
      <x:c r="B18" s="35"/>
      <x:c r="C18" s="35"/>
      <x:c r="E18" s="36"/>
      <x:c r="F18" s="30"/>
      <x:c r="G18" s="30"/>
      <x:c r="H18" s="30"/>
      <x:c r="I18" s="30"/>
      <x:c r="J18" s="30"/>
      <x:c r="K18" s="30"/>
      <x:c r="L18" s="30"/>
    </x:row>
    <x:row r="19">
      <x:c r="A19" s="31"/>
      <x:c r="B19" s="32"/>
      <x:c r="C19" s="32"/>
      <x:c r="E19" s="36"/>
      <x:c r="F19" s="30"/>
      <x:c r="G19" s="30"/>
      <x:c r="H19" s="30"/>
      <x:c r="I19" s="30"/>
      <x:c r="J19" s="30"/>
      <x:c r="K19" s="30"/>
      <x:c r="L19" s="30"/>
    </x:row>
    <x:row r="20">
      <x:c r="A20" s="34"/>
      <x:c r="B20" s="35"/>
      <x:c r="C20" s="35"/>
      <x:c r="E20" s="36"/>
      <x:c r="F20" s="30"/>
      <x:c r="G20" s="30"/>
      <x:c r="H20" s="30"/>
      <x:c r="I20" s="30"/>
      <x:c r="J20" s="30"/>
      <x:c r="K20" s="30"/>
      <x:c r="L20" s="30"/>
    </x:row>
    <x:row r="21" ht="15.75" customHeight="1">
      <x:c r="A21" s="31"/>
      <x:c r="B21" s="32"/>
      <x:c r="C21" s="32"/>
      <x:c r="E21" s="36"/>
      <x:c r="F21" s="30"/>
      <x:c r="G21" s="30"/>
      <x:c r="H21" s="30"/>
      <x:c r="I21" s="30"/>
      <x:c r="J21" s="30"/>
      <x:c r="K21" s="30"/>
      <x:c r="L21" s="30"/>
    </x:row>
    <x:row r="22" ht="15.75" customHeight="1">
      <x:c r="A22" s="34"/>
      <x:c r="B22" s="35"/>
      <x:c r="C22" s="35"/>
      <x:c r="E22" s="36"/>
      <x:c r="F22" s="30"/>
      <x:c r="G22" s="30"/>
      <x:c r="H22" s="30"/>
      <x:c r="I22" s="30"/>
      <x:c r="J22" s="30"/>
      <x:c r="K22" s="30"/>
      <x:c r="L22" s="30"/>
    </x:row>
    <x:row r="23" ht="15.75" customHeight="1">
      <x:c r="A23" s="31"/>
      <x:c r="B23" s="32"/>
      <x:c r="C23" s="32"/>
      <x:c r="E23" s="36"/>
      <x:c r="F23" s="30"/>
      <x:c r="G23" s="30"/>
      <x:c r="H23" s="30"/>
      <x:c r="I23" s="30"/>
      <x:c r="J23" s="30"/>
      <x:c r="K23" s="30"/>
      <x:c r="L23" s="30"/>
    </x:row>
    <x:row r="24" ht="15.75" customHeight="1">
      <x:c r="A24" s="34"/>
      <x:c r="B24" s="35"/>
      <x:c r="C24" s="35"/>
      <x:c r="E24" s="36"/>
      <x:c r="F24" s="30"/>
      <x:c r="G24" s="30"/>
      <x:c r="H24" s="30"/>
      <x:c r="I24" s="30"/>
      <x:c r="J24" s="30"/>
      <x:c r="K24" s="30"/>
      <x:c r="L24" s="30"/>
    </x:row>
    <x:row r="25" ht="15.75" customHeight="1">
      <x:c r="A25" s="31"/>
      <x:c r="B25" s="32"/>
      <x:c r="C25" s="32"/>
      <x:c r="E25" s="36"/>
      <x:c r="F25" s="30"/>
      <x:c r="G25" s="30"/>
      <x:c r="H25" s="30"/>
      <x:c r="I25" s="30"/>
      <x:c r="J25" s="30"/>
      <x:c r="K25" s="30"/>
      <x:c r="L25" s="30"/>
    </x:row>
    <x:row r="26" ht="15.75" customHeight="1">
      <x:c r="A26" s="34"/>
      <x:c r="B26" s="35"/>
      <x:c r="C26" s="35"/>
      <x:c r="E26" s="36"/>
      <x:c r="F26" s="30"/>
      <x:c r="G26" s="30"/>
      <x:c r="H26" s="30"/>
      <x:c r="I26" s="30"/>
      <x:c r="J26" s="30"/>
      <x:c r="K26" s="30"/>
      <x:c r="L26" s="30"/>
    </x:row>
    <x:row r="27" ht="15.75" customHeight="1">
      <x:c r="A27" s="31"/>
      <x:c r="B27" s="32"/>
      <x:c r="C27" s="32"/>
      <x:c r="E27" s="36"/>
      <x:c r="F27" s="30"/>
      <x:c r="G27" s="30"/>
      <x:c r="H27" s="30"/>
      <x:c r="I27" s="30"/>
      <x:c r="J27" s="30"/>
      <x:c r="K27" s="30"/>
      <x:c r="L27" s="30"/>
    </x:row>
    <x:row r="28" ht="15.75" customHeight="1">
      <x:c r="A28" s="34"/>
      <x:c r="B28" s="35"/>
      <x:c r="C28" s="35"/>
      <x:c r="E28" s="36"/>
      <x:c r="F28" s="30"/>
      <x:c r="G28" s="30"/>
      <x:c r="H28" s="30"/>
      <x:c r="I28" s="30"/>
      <x:c r="J28" s="30"/>
      <x:c r="K28" s="30"/>
      <x:c r="L28" s="30"/>
    </x:row>
    <x:row r="29" ht="15.75" customHeight="1">
      <x:c r="A29" s="31"/>
      <x:c r="B29" s="32"/>
      <x:c r="C29" s="32"/>
      <x:c r="E29" s="36"/>
      <x:c r="F29" s="30"/>
      <x:c r="G29" s="30"/>
      <x:c r="H29" s="30"/>
      <x:c r="I29" s="30"/>
      <x:c r="J29" s="30"/>
      <x:c r="K29" s="30"/>
      <x:c r="L29" s="30"/>
    </x:row>
    <x:row r="30" ht="15.75" customHeight="1">
      <x:c r="A30" s="34"/>
      <x:c r="B30" s="35"/>
      <x:c r="C30" s="35"/>
      <x:c r="E30" s="36"/>
      <x:c r="F30" s="30"/>
      <x:c r="G30" s="30"/>
      <x:c r="H30" s="30"/>
      <x:c r="I30" s="30"/>
      <x:c r="J30" s="30"/>
      <x:c r="K30" s="30"/>
      <x:c r="L30" s="30"/>
    </x:row>
    <x:row r="31" ht="15.75" customHeight="1">
      <x:c r="A31" s="31"/>
      <x:c r="B31" s="32"/>
      <x:c r="C31" s="32"/>
      <x:c r="E31" s="36"/>
      <x:c r="F31" s="30"/>
      <x:c r="G31" s="30"/>
      <x:c r="H31" s="30"/>
      <x:c r="I31" s="30"/>
      <x:c r="J31" s="30"/>
      <x:c r="K31" s="30"/>
      <x:c r="L31" s="30"/>
    </x:row>
    <x:row r="32" ht="15.75" customHeight="1">
      <x:c r="A32" s="34"/>
      <x:c r="B32" s="35"/>
      <x:c r="C32" s="35"/>
      <x:c r="E32" s="36"/>
      <x:c r="F32" s="30"/>
      <x:c r="G32" s="30"/>
      <x:c r="H32" s="30"/>
      <x:c r="I32" s="30"/>
      <x:c r="J32" s="30"/>
      <x:c r="K32" s="30"/>
      <x:c r="L32" s="30"/>
    </x:row>
    <x:row r="33" ht="15.75" customHeight="1">
      <x:c r="A33" s="31"/>
      <x:c r="B33" s="32"/>
      <x:c r="C33" s="32"/>
      <x:c r="E33" s="36"/>
      <x:c r="F33" s="30"/>
      <x:c r="G33" s="30"/>
      <x:c r="H33" s="30"/>
      <x:c r="I33" s="30"/>
      <x:c r="J33" s="30"/>
      <x:c r="K33" s="30"/>
      <x:c r="L33" s="30"/>
    </x:row>
    <x:row r="34" ht="15.75" customHeight="1">
      <x:c r="A34" s="34"/>
      <x:c r="B34" s="35"/>
      <x:c r="C34" s="35"/>
      <x:c r="E34" s="36"/>
      <x:c r="F34" s="30"/>
      <x:c r="G34" s="30"/>
      <x:c r="H34" s="30"/>
      <x:c r="I34" s="30"/>
      <x:c r="J34" s="30"/>
      <x:c r="K34" s="30"/>
      <x:c r="L34" s="30"/>
    </x:row>
    <x:row r="35" ht="15.75" customHeight="1">
      <x:c r="A35" s="31"/>
      <x:c r="B35" s="32"/>
      <x:c r="C35" s="32"/>
      <x:c r="E35" s="36"/>
      <x:c r="F35" s="30"/>
      <x:c r="G35" s="30"/>
      <x:c r="H35" s="30"/>
      <x:c r="I35" s="30"/>
      <x:c r="J35" s="30"/>
      <x:c r="K35" s="30"/>
      <x:c r="L35" s="30"/>
    </x:row>
    <x:row r="36" ht="15.75" customHeight="1">
      <x:c r="A36" s="34"/>
      <x:c r="B36" s="35"/>
      <x:c r="C36" s="35"/>
      <x:c r="E36" s="36"/>
      <x:c r="F36" s="30"/>
      <x:c r="G36" s="30"/>
      <x:c r="H36" s="30"/>
      <x:c r="I36" s="30"/>
      <x:c r="J36" s="30"/>
      <x:c r="K36" s="30"/>
      <x:c r="L36" s="30"/>
    </x:row>
    <x:row r="37" ht="15.75" customHeight="1">
      <x:c r="A37" s="31"/>
      <x:c r="B37" s="32"/>
      <x:c r="C37" s="32"/>
      <x:c r="E37" s="36"/>
      <x:c r="F37" s="30"/>
      <x:c r="G37" s="30"/>
      <x:c r="H37" s="30"/>
      <x:c r="I37" s="30"/>
      <x:c r="J37" s="30"/>
      <x:c r="K37" s="30"/>
      <x:c r="L37" s="30"/>
    </x:row>
    <x:row r="38" ht="15.75" customHeight="1">
      <x:c r="A38" s="34"/>
      <x:c r="B38" s="35"/>
      <x:c r="C38" s="35"/>
      <x:c r="E38" s="36"/>
      <x:c r="F38" s="30"/>
      <x:c r="G38" s="30"/>
      <x:c r="H38" s="30"/>
      <x:c r="I38" s="30"/>
      <x:c r="J38" s="30"/>
      <x:c r="K38" s="30"/>
      <x:c r="L38" s="30"/>
    </x:row>
    <x:row r="39" ht="15.75" customHeight="1">
      <x:c r="A39" s="31"/>
      <x:c r="B39" s="32"/>
      <x:c r="C39" s="32"/>
      <x:c r="E39" s="36"/>
      <x:c r="F39" s="30"/>
      <x:c r="G39" s="30"/>
      <x:c r="H39" s="30"/>
      <x:c r="I39" s="30"/>
      <x:c r="J39" s="30"/>
      <x:c r="K39" s="30"/>
      <x:c r="L39" s="30"/>
    </x:row>
    <x:row r="40" ht="15.75" customHeight="1">
      <x:c r="A40" s="34"/>
      <x:c r="B40" s="35"/>
      <x:c r="C40" s="35"/>
      <x:c r="E40" s="36"/>
      <x:c r="F40" s="30"/>
      <x:c r="G40" s="30"/>
      <x:c r="H40" s="30"/>
      <x:c r="I40" s="30"/>
      <x:c r="J40" s="30"/>
      <x:c r="K40" s="30"/>
      <x:c r="L40" s="30"/>
    </x:row>
    <x:row r="41" ht="15.75" customHeight="1">
      <x:c r="A41" s="31"/>
      <x:c r="B41" s="32"/>
      <x:c r="C41" s="32"/>
      <x:c r="E41" s="36"/>
      <x:c r="F41" s="30"/>
      <x:c r="G41" s="30"/>
      <x:c r="H41" s="30"/>
      <x:c r="I41" s="30"/>
      <x:c r="J41" s="30"/>
      <x:c r="K41" s="30"/>
      <x:c r="L41" s="30"/>
    </x:row>
    <x:row r="42" ht="15.75" customHeight="1">
      <x:c r="A42" s="34"/>
      <x:c r="B42" s="35"/>
      <x:c r="C42" s="35"/>
      <x:c r="E42" s="36"/>
      <x:c r="F42" s="30"/>
      <x:c r="G42" s="30"/>
      <x:c r="H42" s="30"/>
      <x:c r="I42" s="30"/>
      <x:c r="J42" s="30"/>
      <x:c r="K42" s="30"/>
      <x:c r="L42" s="30"/>
    </x:row>
    <x:row r="43" ht="15.75" customHeight="1">
      <x:c r="A43" s="37"/>
      <x:c r="B43" s="6"/>
      <x:c r="C43" s="36"/>
      <x:c r="E43" s="36"/>
      <x:c r="F43" s="30"/>
      <x:c r="G43" s="30"/>
      <x:c r="H43" s="30"/>
      <x:c r="I43" s="30"/>
      <x:c r="J43" s="30"/>
      <x:c r="K43" s="30"/>
      <x:c r="L43" s="30"/>
    </x:row>
    <x:row r="44" ht="15.75" customHeight="1">
      <x:c r="A44" s="37"/>
      <x:c r="B44" s="6"/>
      <x:c r="C44" s="36"/>
      <x:c r="E44" s="36"/>
      <x:c r="F44" s="30"/>
      <x:c r="G44" s="30"/>
      <x:c r="H44" s="30"/>
      <x:c r="I44" s="30"/>
      <x:c r="J44" s="30"/>
      <x:c r="K44" s="30"/>
      <x:c r="L44" s="30"/>
    </x:row>
    <x:row r="45" ht="15.75" customHeight="1">
      <x:c r="A45" s="37"/>
      <x:c r="B45" s="6"/>
      <x:c r="C45" s="36"/>
      <x:c r="E45" s="36"/>
      <x:c r="F45" s="30"/>
      <x:c r="G45" s="30"/>
      <x:c r="H45" s="30"/>
      <x:c r="I45" s="30"/>
      <x:c r="J45" s="30"/>
      <x:c r="K45" s="30"/>
      <x:c r="L45" s="30"/>
    </x:row>
    <x:row r="46" ht="15.75" customHeight="1">
      <x:c r="A46" s="37"/>
      <x:c r="B46" s="6"/>
      <x:c r="C46" s="36"/>
      <x:c r="E46" s="36"/>
      <x:c r="F46" s="30"/>
      <x:c r="G46" s="30"/>
      <x:c r="H46" s="30"/>
      <x:c r="I46" s="30"/>
      <x:c r="J46" s="30"/>
      <x:c r="K46" s="30"/>
      <x:c r="L46" s="30"/>
    </x:row>
    <x:row r="47" ht="15.75" customHeight="1">
      <x:c r="A47" s="37"/>
      <x:c r="B47" s="6"/>
      <x:c r="C47" s="36"/>
      <x:c r="E47" s="36"/>
      <x:c r="F47" s="30"/>
      <x:c r="G47" s="30"/>
      <x:c r="H47" s="30"/>
      <x:c r="I47" s="30"/>
      <x:c r="J47" s="30"/>
      <x:c r="K47" s="30"/>
      <x:c r="L47" s="30"/>
    </x:row>
    <x:row r="48" ht="15.75" customHeight="1">
      <x:c r="A48" s="37"/>
      <x:c r="B48" s="6"/>
      <x:c r="C48" s="36"/>
      <x:c r="E48" s="36"/>
      <x:c r="F48" s="30"/>
      <x:c r="G48" s="30"/>
      <x:c r="H48" s="30"/>
      <x:c r="I48" s="30"/>
      <x:c r="J48" s="30"/>
      <x:c r="K48" s="30"/>
      <x:c r="L48" s="30"/>
    </x:row>
    <x:row r="49" ht="15.75" customHeight="1">
      <x:c r="A49" s="37"/>
      <x:c r="B49" s="6"/>
      <x:c r="C49" s="36"/>
      <x:c r="E49" s="36"/>
      <x:c r="F49" s="30"/>
      <x:c r="G49" s="30"/>
      <x:c r="H49" s="30"/>
      <x:c r="I49" s="30"/>
      <x:c r="J49" s="30"/>
      <x:c r="K49" s="30"/>
      <x:c r="L49" s="30"/>
    </x:row>
    <x:row r="50" ht="15.75" customHeight="1">
      <x:c r="A50" s="37"/>
      <x:c r="B50" s="6"/>
      <x:c r="C50" s="36"/>
      <x:c r="E50" s="36"/>
      <x:c r="F50" s="30"/>
      <x:c r="G50" s="30"/>
      <x:c r="H50" s="30"/>
      <x:c r="I50" s="30"/>
      <x:c r="J50" s="30"/>
      <x:c r="K50" s="30"/>
      <x:c r="L50" s="30"/>
    </x:row>
    <x:row r="51" ht="15.75" customHeight="1">
      <x:c r="A51" s="37"/>
      <x:c r="B51" s="6"/>
      <x:c r="C51" s="36"/>
      <x:c r="E51" s="36"/>
      <x:c r="F51" s="30"/>
      <x:c r="G51" s="30"/>
      <x:c r="H51" s="30"/>
      <x:c r="I51" s="30"/>
      <x:c r="J51" s="30"/>
      <x:c r="K51" s="30"/>
      <x:c r="L51" s="30"/>
    </x:row>
    <x:row r="52" ht="15.75" customHeight="1">
      <x:c r="A52" s="37"/>
      <x:c r="B52" s="6"/>
      <x:c r="C52" s="36"/>
      <x:c r="E52" s="36"/>
      <x:c r="F52" s="30"/>
      <x:c r="G52" s="30"/>
      <x:c r="H52" s="30"/>
      <x:c r="I52" s="30"/>
      <x:c r="J52" s="30"/>
      <x:c r="K52" s="30"/>
      <x:c r="L52" s="30"/>
    </x:row>
    <x:row r="53" ht="15.75" customHeight="1">
      <x:c r="A53" s="37"/>
      <x:c r="B53" s="6"/>
      <x:c r="C53" s="36"/>
      <x:c r="E53" s="36"/>
      <x:c r="F53" s="30"/>
      <x:c r="G53" s="30"/>
      <x:c r="H53" s="30"/>
      <x:c r="I53" s="30"/>
      <x:c r="J53" s="30"/>
      <x:c r="K53" s="30"/>
      <x:c r="L53" s="30"/>
    </x:row>
    <x:row r="54" ht="15.75" customHeight="1">
      <x:c r="A54" s="37"/>
      <x:c r="B54" s="6"/>
      <x:c r="C54" s="36"/>
      <x:c r="E54" s="36"/>
      <x:c r="F54" s="30"/>
      <x:c r="G54" s="30"/>
      <x:c r="H54" s="30"/>
      <x:c r="I54" s="30"/>
      <x:c r="J54" s="30"/>
      <x:c r="K54" s="30"/>
      <x:c r="L54" s="30"/>
    </x:row>
    <x:row r="55" ht="15.75" customHeight="1">
      <x:c r="A55" s="37"/>
      <x:c r="B55" s="6"/>
      <x:c r="C55" s="36"/>
      <x:c r="E55" s="36"/>
      <x:c r="F55" s="30"/>
      <x:c r="G55" s="30"/>
      <x:c r="H55" s="30"/>
      <x:c r="I55" s="30"/>
      <x:c r="J55" s="30"/>
      <x:c r="K55" s="30"/>
      <x:c r="L55" s="30"/>
    </x:row>
    <x:row r="56" ht="15.75" customHeight="1">
      <x:c r="A56" s="37"/>
      <x:c r="B56" s="6"/>
      <x:c r="C56" s="36"/>
      <x:c r="E56" s="36"/>
      <x:c r="F56" s="30"/>
      <x:c r="G56" s="30"/>
      <x:c r="H56" s="30"/>
      <x:c r="I56" s="30"/>
      <x:c r="J56" s="30"/>
      <x:c r="K56" s="30"/>
      <x:c r="L56" s="30"/>
    </x:row>
    <x:row r="57" ht="15.75" customHeight="1">
      <x:c r="A57" s="37"/>
      <x:c r="B57" s="6"/>
      <x:c r="C57" s="36"/>
      <x:c r="E57" s="36"/>
      <x:c r="F57" s="30"/>
      <x:c r="G57" s="30"/>
      <x:c r="H57" s="30"/>
      <x:c r="I57" s="30"/>
      <x:c r="J57" s="30"/>
      <x:c r="K57" s="30"/>
      <x:c r="L57" s="30"/>
    </x:row>
    <x:row r="58" ht="15.75" customHeight="1">
      <x:c r="A58" s="37"/>
      <x:c r="B58" s="6"/>
      <x:c r="C58" s="36"/>
      <x:c r="E58" s="36"/>
      <x:c r="F58" s="30"/>
      <x:c r="G58" s="30"/>
      <x:c r="H58" s="30"/>
      <x:c r="I58" s="30"/>
      <x:c r="J58" s="30"/>
      <x:c r="K58" s="30"/>
      <x:c r="L58" s="30"/>
    </x:row>
    <x:row r="59" ht="15.75" customHeight="1">
      <x:c r="A59" s="37"/>
      <x:c r="B59" s="6"/>
      <x:c r="C59" s="36"/>
      <x:c r="E59" s="36"/>
      <x:c r="F59" s="30"/>
      <x:c r="G59" s="30"/>
      <x:c r="H59" s="30"/>
      <x:c r="I59" s="30"/>
      <x:c r="J59" s="30"/>
      <x:c r="K59" s="30"/>
      <x:c r="L59" s="30"/>
    </x:row>
    <x:row r="60" ht="15.75" customHeight="1">
      <x:c r="A60" s="37"/>
      <x:c r="B60" s="6"/>
      <x:c r="C60" s="36"/>
      <x:c r="E60" s="36"/>
      <x:c r="F60" s="30"/>
      <x:c r="G60" s="30"/>
      <x:c r="H60" s="30"/>
      <x:c r="I60" s="30"/>
      <x:c r="J60" s="30"/>
      <x:c r="K60" s="30"/>
      <x:c r="L60" s="30"/>
    </x:row>
    <x:row r="61" ht="15.75" customHeight="1">
      <x:c r="A61" s="37"/>
      <x:c r="B61" s="6"/>
      <x:c r="C61" s="36"/>
      <x:c r="E61" s="36"/>
      <x:c r="F61" s="30"/>
      <x:c r="G61" s="30"/>
      <x:c r="H61" s="30"/>
      <x:c r="I61" s="30"/>
      <x:c r="J61" s="30"/>
      <x:c r="K61" s="30"/>
      <x:c r="L61" s="30"/>
    </x:row>
    <x:row r="62" ht="15.75" customHeight="1">
      <x:c r="A62" s="37"/>
      <x:c r="B62" s="6"/>
      <x:c r="C62" s="36"/>
      <x:c r="E62" s="36"/>
      <x:c r="F62" s="30"/>
      <x:c r="G62" s="30"/>
      <x:c r="H62" s="30"/>
      <x:c r="I62" s="30"/>
      <x:c r="J62" s="30"/>
      <x:c r="K62" s="30"/>
      <x:c r="L62" s="30"/>
    </x:row>
    <x:row r="63" ht="15.75" customHeight="1">
      <x:c r="A63" s="37"/>
      <x:c r="B63" s="6"/>
      <x:c r="C63" s="36"/>
      <x:c r="E63" s="36"/>
      <x:c r="F63" s="30"/>
      <x:c r="G63" s="30"/>
      <x:c r="H63" s="30"/>
      <x:c r="I63" s="30"/>
      <x:c r="J63" s="30"/>
      <x:c r="K63" s="30"/>
      <x:c r="L63" s="30"/>
    </x:row>
    <x:row r="64" ht="15.75" customHeight="1">
      <x:c r="A64" s="37"/>
      <x:c r="B64" s="6"/>
      <x:c r="C64" s="36"/>
      <x:c r="E64" s="36"/>
      <x:c r="F64" s="30"/>
      <x:c r="G64" s="30"/>
      <x:c r="H64" s="30"/>
      <x:c r="I64" s="30"/>
      <x:c r="J64" s="30"/>
      <x:c r="K64" s="30"/>
      <x:c r="L64" s="30"/>
    </x:row>
    <x:row r="65" ht="15.75" customHeight="1">
      <x:c r="A65" s="37"/>
      <x:c r="B65" s="6"/>
      <x:c r="C65" s="36"/>
      <x:c r="E65" s="36"/>
      <x:c r="F65" s="30"/>
      <x:c r="G65" s="30"/>
      <x:c r="H65" s="30"/>
      <x:c r="I65" s="30"/>
      <x:c r="J65" s="30"/>
      <x:c r="K65" s="30"/>
      <x:c r="L65" s="30"/>
    </x:row>
    <x:row r="66" ht="15.75" customHeight="1">
      <x:c r="A66" s="37"/>
      <x:c r="B66" s="6"/>
      <x:c r="C66" s="36"/>
      <x:c r="E66" s="36"/>
      <x:c r="F66" s="30"/>
      <x:c r="G66" s="30"/>
      <x:c r="H66" s="30"/>
      <x:c r="I66" s="30"/>
      <x:c r="J66" s="30"/>
      <x:c r="K66" s="30"/>
      <x:c r="L66" s="30"/>
    </x:row>
    <x:row r="67" ht="15.75" customHeight="1">
      <x:c r="A67" s="37"/>
      <x:c r="B67" s="6"/>
      <x:c r="C67" s="36"/>
      <x:c r="E67" s="36"/>
      <x:c r="F67" s="30"/>
      <x:c r="G67" s="30"/>
      <x:c r="H67" s="30"/>
      <x:c r="I67" s="30"/>
      <x:c r="J67" s="30"/>
      <x:c r="K67" s="30"/>
      <x:c r="L67" s="30"/>
    </x:row>
    <x:row r="68" ht="15.75" customHeight="1">
      <x:c r="A68" s="37"/>
      <x:c r="B68" s="6"/>
      <x:c r="C68" s="36"/>
      <x:c r="E68" s="36"/>
      <x:c r="F68" s="30"/>
      <x:c r="G68" s="30"/>
      <x:c r="H68" s="30"/>
      <x:c r="I68" s="30"/>
      <x:c r="J68" s="30"/>
      <x:c r="K68" s="30"/>
      <x:c r="L68" s="30"/>
    </x:row>
    <x:row r="69" ht="15.75" customHeight="1">
      <x:c r="A69" s="37"/>
      <x:c r="B69" s="6"/>
      <x:c r="C69" s="36"/>
      <x:c r="E69" s="36"/>
      <x:c r="F69" s="30"/>
      <x:c r="G69" s="30"/>
      <x:c r="H69" s="30"/>
      <x:c r="I69" s="30"/>
      <x:c r="J69" s="30"/>
      <x:c r="K69" s="30"/>
      <x:c r="L69" s="30"/>
    </x:row>
    <x:row r="70" ht="15.75" customHeight="1">
      <x:c r="A70" s="37"/>
      <x:c r="B70" s="6"/>
      <x:c r="C70" s="36"/>
      <x:c r="E70" s="36"/>
      <x:c r="F70" s="30"/>
      <x:c r="G70" s="30"/>
      <x:c r="H70" s="30"/>
      <x:c r="I70" s="30"/>
      <x:c r="J70" s="30"/>
      <x:c r="K70" s="30"/>
      <x:c r="L70" s="30"/>
    </x:row>
    <x:row r="71" ht="15.75" customHeight="1">
      <x:c r="A71" s="37"/>
      <x:c r="B71" s="6"/>
      <x:c r="C71" s="36"/>
      <x:c r="E71" s="36"/>
      <x:c r="F71" s="30"/>
      <x:c r="G71" s="30"/>
      <x:c r="H71" s="30"/>
      <x:c r="I71" s="30"/>
      <x:c r="J71" s="30"/>
      <x:c r="K71" s="30"/>
      <x:c r="L71" s="30"/>
    </x:row>
    <x:row r="72" ht="15.75" customHeight="1">
      <x:c r="A72" s="37"/>
      <x:c r="B72" s="6"/>
      <x:c r="C72" s="36"/>
      <x:c r="E72" s="36"/>
      <x:c r="F72" s="30"/>
      <x:c r="G72" s="30"/>
      <x:c r="H72" s="30"/>
      <x:c r="I72" s="30"/>
      <x:c r="J72" s="30"/>
      <x:c r="K72" s="30"/>
      <x:c r="L72" s="30"/>
    </x:row>
    <x:row r="73" ht="15.75" customHeight="1">
      <x:c r="A73" s="37"/>
      <x:c r="B73" s="6"/>
      <x:c r="C73" s="36"/>
      <x:c r="E73" s="36"/>
      <x:c r="F73" s="30"/>
      <x:c r="G73" s="30"/>
      <x:c r="H73" s="30"/>
      <x:c r="I73" s="30"/>
      <x:c r="J73" s="30"/>
      <x:c r="K73" s="30"/>
      <x:c r="L73" s="30"/>
    </x:row>
    <x:row r="74" ht="15.75" customHeight="1">
      <x:c r="A74" s="37"/>
      <x:c r="B74" s="6"/>
      <x:c r="C74" s="36"/>
      <x:c r="E74" s="36"/>
      <x:c r="F74" s="30"/>
      <x:c r="G74" s="30"/>
      <x:c r="H74" s="30"/>
      <x:c r="I74" s="30"/>
      <x:c r="J74" s="30"/>
      <x:c r="K74" s="30"/>
      <x:c r="L74" s="30"/>
    </x:row>
    <x:row r="75" ht="15.75" customHeight="1">
      <x:c r="A75" s="37"/>
      <x:c r="B75" s="6"/>
      <x:c r="C75" s="36"/>
      <x:c r="E75" s="36"/>
      <x:c r="F75" s="30"/>
      <x:c r="G75" s="30"/>
      <x:c r="H75" s="30"/>
      <x:c r="I75" s="30"/>
      <x:c r="J75" s="30"/>
      <x:c r="K75" s="30"/>
      <x:c r="L75" s="30"/>
    </x:row>
    <x:row r="76" ht="15.75" customHeight="1">
      <x:c r="A76" s="37"/>
      <x:c r="B76" s="6"/>
      <x:c r="C76" s="36"/>
      <x:c r="E76" s="36"/>
      <x:c r="F76" s="30"/>
      <x:c r="G76" s="30"/>
      <x:c r="H76" s="30"/>
      <x:c r="I76" s="30"/>
      <x:c r="J76" s="30"/>
      <x:c r="K76" s="30"/>
      <x:c r="L76" s="30"/>
    </x:row>
    <x:row r="77" ht="15.75" customHeight="1">
      <x:c r="A77" s="37"/>
      <x:c r="B77" s="6"/>
      <x:c r="C77" s="36"/>
      <x:c r="E77" s="36"/>
      <x:c r="F77" s="30"/>
      <x:c r="G77" s="30"/>
      <x:c r="H77" s="30"/>
      <x:c r="I77" s="30"/>
      <x:c r="J77" s="30"/>
      <x:c r="K77" s="30"/>
      <x:c r="L77" s="30"/>
    </x:row>
    <x:row r="78" ht="15.75" customHeight="1">
      <x:c r="A78" s="37"/>
      <x:c r="B78" s="6"/>
      <x:c r="C78" s="36"/>
      <x:c r="E78" s="36"/>
      <x:c r="F78" s="30"/>
      <x:c r="G78" s="30"/>
      <x:c r="H78" s="30"/>
      <x:c r="I78" s="30"/>
      <x:c r="J78" s="30"/>
      <x:c r="K78" s="30"/>
      <x:c r="L78" s="30"/>
    </x:row>
    <x:row r="79" ht="15.75" customHeight="1">
      <x:c r="A79" s="37"/>
      <x:c r="B79" s="6"/>
      <x:c r="C79" s="36"/>
      <x:c r="E79" s="36"/>
      <x:c r="F79" s="30"/>
      <x:c r="G79" s="30"/>
      <x:c r="H79" s="30"/>
      <x:c r="I79" s="30"/>
      <x:c r="J79" s="30"/>
      <x:c r="K79" s="30"/>
      <x:c r="L79" s="30"/>
    </x:row>
    <x:row r="80" ht="15.75" customHeight="1">
      <x:c r="A80" s="37"/>
      <x:c r="B80" s="6"/>
      <x:c r="C80" s="36"/>
      <x:c r="E80" s="36"/>
      <x:c r="F80" s="30"/>
      <x:c r="G80" s="30"/>
      <x:c r="H80" s="30"/>
      <x:c r="I80" s="30"/>
      <x:c r="J80" s="30"/>
      <x:c r="K80" s="30"/>
      <x:c r="L80" s="30"/>
    </x:row>
    <x:row r="81" ht="15.75" customHeight="1">
      <x:c r="A81" s="37"/>
      <x:c r="B81" s="6"/>
      <x:c r="C81" s="36"/>
      <x:c r="E81" s="36"/>
      <x:c r="F81" s="30"/>
      <x:c r="G81" s="30"/>
      <x:c r="H81" s="30"/>
      <x:c r="I81" s="30"/>
      <x:c r="J81" s="30"/>
      <x:c r="K81" s="30"/>
      <x:c r="L81" s="30"/>
    </x:row>
    <x:row r="82" ht="15.75" customHeight="1">
      <x:c r="A82" s="37"/>
      <x:c r="B82" s="6"/>
      <x:c r="C82" s="36"/>
      <x:c r="E82" s="36"/>
      <x:c r="F82" s="30"/>
      <x:c r="G82" s="30"/>
      <x:c r="H82" s="30"/>
      <x:c r="I82" s="30"/>
      <x:c r="J82" s="30"/>
      <x:c r="K82" s="30"/>
      <x:c r="L82" s="30"/>
    </x:row>
    <x:row r="83" ht="15.75" customHeight="1">
      <x:c r="A83" s="37"/>
      <x:c r="B83" s="6"/>
      <x:c r="C83" s="36"/>
      <x:c r="E83" s="36"/>
      <x:c r="F83" s="30"/>
      <x:c r="G83" s="30"/>
      <x:c r="H83" s="30"/>
      <x:c r="I83" s="30"/>
      <x:c r="J83" s="30"/>
      <x:c r="K83" s="30"/>
      <x:c r="L83" s="30"/>
    </x:row>
    <x:row r="84" ht="15.75" customHeight="1">
      <x:c r="A84" s="37"/>
      <x:c r="B84" s="6"/>
      <x:c r="C84" s="36"/>
      <x:c r="E84" s="36"/>
      <x:c r="F84" s="30"/>
      <x:c r="G84" s="30"/>
      <x:c r="H84" s="30"/>
      <x:c r="I84" s="30"/>
      <x:c r="J84" s="30"/>
      <x:c r="K84" s="30"/>
      <x:c r="L84" s="30"/>
    </x:row>
    <x:row r="85" ht="15.75" customHeight="1">
      <x:c r="A85" s="37"/>
      <x:c r="B85" s="6"/>
      <x:c r="C85" s="36"/>
      <x:c r="E85" s="36"/>
      <x:c r="F85" s="30"/>
      <x:c r="G85" s="30"/>
      <x:c r="H85" s="30"/>
      <x:c r="I85" s="30"/>
      <x:c r="J85" s="30"/>
      <x:c r="K85" s="30"/>
      <x:c r="L85" s="30"/>
    </x:row>
    <x:row r="86" ht="15.75" customHeight="1">
      <x:c r="A86" s="37"/>
      <x:c r="B86" s="6"/>
      <x:c r="C86" s="36"/>
      <x:c r="E86" s="36"/>
      <x:c r="F86" s="30"/>
      <x:c r="G86" s="30"/>
      <x:c r="H86" s="30"/>
      <x:c r="I86" s="30"/>
      <x:c r="J86" s="30"/>
      <x:c r="K86" s="30"/>
      <x:c r="L86" s="30"/>
    </x:row>
    <x:row r="87" ht="15.75" customHeight="1">
      <x:c r="A87" s="37"/>
      <x:c r="B87" s="6"/>
      <x:c r="C87" s="36"/>
      <x:c r="E87" s="36"/>
      <x:c r="F87" s="30"/>
      <x:c r="G87" s="30"/>
      <x:c r="H87" s="30"/>
      <x:c r="I87" s="30"/>
      <x:c r="J87" s="30"/>
      <x:c r="K87" s="30"/>
      <x:c r="L87" s="30"/>
    </x:row>
    <x:row r="88" ht="15.75" customHeight="1">
      <x:c r="A88" s="37"/>
      <x:c r="B88" s="6"/>
      <x:c r="C88" s="36"/>
      <x:c r="E88" s="36"/>
      <x:c r="F88" s="30"/>
      <x:c r="G88" s="30"/>
      <x:c r="H88" s="30"/>
      <x:c r="I88" s="30"/>
      <x:c r="J88" s="30"/>
      <x:c r="K88" s="30"/>
      <x:c r="L88" s="30"/>
    </x:row>
    <x:row r="89" ht="15.75" customHeight="1">
      <x:c r="A89" s="37"/>
      <x:c r="B89" s="6"/>
      <x:c r="C89" s="36"/>
      <x:c r="E89" s="36"/>
      <x:c r="F89" s="30"/>
      <x:c r="G89" s="30"/>
      <x:c r="H89" s="30"/>
      <x:c r="I89" s="30"/>
      <x:c r="J89" s="30"/>
      <x:c r="K89" s="30"/>
      <x:c r="L89" s="30"/>
    </x:row>
    <x:row r="90" ht="15.75" customHeight="1">
      <x:c r="A90" s="37"/>
      <x:c r="B90" s="6"/>
      <x:c r="C90" s="36"/>
      <x:c r="E90" s="36"/>
      <x:c r="F90" s="30"/>
      <x:c r="G90" s="30"/>
      <x:c r="H90" s="30"/>
      <x:c r="I90" s="30"/>
      <x:c r="J90" s="30"/>
      <x:c r="K90" s="30"/>
      <x:c r="L90" s="30"/>
    </x:row>
    <x:row r="91" ht="15.75" customHeight="1">
      <x:c r="A91" s="37"/>
      <x:c r="B91" s="6"/>
      <x:c r="C91" s="36"/>
      <x:c r="E91" s="36"/>
      <x:c r="F91" s="30"/>
      <x:c r="G91" s="30"/>
      <x:c r="H91" s="30"/>
      <x:c r="I91" s="30"/>
      <x:c r="J91" s="30"/>
      <x:c r="K91" s="30"/>
      <x:c r="L91" s="30"/>
    </x:row>
    <x:row r="92" ht="15.75" customHeight="1">
      <x:c r="A92" s="37"/>
      <x:c r="B92" s="6"/>
      <x:c r="C92" s="36"/>
      <x:c r="E92" s="36"/>
      <x:c r="F92" s="30"/>
      <x:c r="G92" s="30"/>
      <x:c r="H92" s="30"/>
      <x:c r="I92" s="30"/>
      <x:c r="J92" s="30"/>
      <x:c r="K92" s="30"/>
      <x:c r="L92" s="30"/>
    </x:row>
    <x:row r="93" ht="15.75" customHeight="1">
      <x:c r="A93" s="37"/>
      <x:c r="B93" s="6"/>
      <x:c r="C93" s="36"/>
      <x:c r="E93" s="36"/>
      <x:c r="F93" s="30"/>
      <x:c r="G93" s="30"/>
      <x:c r="H93" s="30"/>
      <x:c r="I93" s="30"/>
      <x:c r="J93" s="30"/>
      <x:c r="K93" s="30"/>
      <x:c r="L93" s="30"/>
    </x:row>
    <x:row r="94" ht="15.75" customHeight="1">
      <x:c r="A94" s="37"/>
      <x:c r="B94" s="6"/>
      <x:c r="C94" s="36"/>
      <x:c r="E94" s="36"/>
      <x:c r="F94" s="30"/>
      <x:c r="G94" s="30"/>
      <x:c r="H94" s="30"/>
      <x:c r="I94" s="30"/>
      <x:c r="J94" s="30"/>
      <x:c r="K94" s="30"/>
      <x:c r="L94" s="30"/>
    </x:row>
    <x:row r="95" ht="15.75" customHeight="1">
      <x:c r="A95" s="37"/>
      <x:c r="B95" s="6"/>
      <x:c r="C95" s="36"/>
      <x:c r="E95" s="36"/>
      <x:c r="F95" s="30"/>
      <x:c r="G95" s="30"/>
      <x:c r="H95" s="30"/>
      <x:c r="I95" s="30"/>
      <x:c r="J95" s="30"/>
      <x:c r="K95" s="30"/>
      <x:c r="L95" s="30"/>
    </x:row>
    <x:row r="96" ht="15.75" customHeight="1">
      <x:c r="A96" s="37"/>
      <x:c r="B96" s="6"/>
      <x:c r="C96" s="36"/>
      <x:c r="E96" s="36"/>
      <x:c r="F96" s="30"/>
      <x:c r="G96" s="30"/>
      <x:c r="H96" s="30"/>
      <x:c r="I96" s="30"/>
      <x:c r="J96" s="30"/>
      <x:c r="K96" s="30"/>
      <x:c r="L96" s="30"/>
    </x:row>
    <x:row r="97" ht="15.75" customHeight="1">
      <x:c r="A97" s="37"/>
      <x:c r="B97" s="6"/>
      <x:c r="C97" s="36"/>
      <x:c r="E97" s="36"/>
      <x:c r="F97" s="30"/>
      <x:c r="G97" s="30"/>
      <x:c r="H97" s="30"/>
      <x:c r="I97" s="30"/>
      <x:c r="J97" s="30"/>
      <x:c r="K97" s="30"/>
      <x:c r="L97" s="30"/>
    </x:row>
    <x:row r="98" ht="15.75" customHeight="1">
      <x:c r="A98" s="37"/>
      <x:c r="B98" s="6"/>
      <x:c r="C98" s="36"/>
      <x:c r="E98" s="36"/>
      <x:c r="F98" s="30"/>
      <x:c r="G98" s="30"/>
      <x:c r="H98" s="30"/>
      <x:c r="I98" s="30"/>
      <x:c r="J98" s="30"/>
      <x:c r="K98" s="30"/>
      <x:c r="L98" s="30"/>
    </x:row>
    <x:row r="99" ht="15.75" customHeight="1">
      <x:c r="A99" s="37"/>
      <x:c r="B99" s="6"/>
      <x:c r="C99" s="36"/>
      <x:c r="E99" s="36"/>
      <x:c r="F99" s="30"/>
      <x:c r="G99" s="30"/>
      <x:c r="H99" s="30"/>
      <x:c r="I99" s="30"/>
      <x:c r="J99" s="30"/>
      <x:c r="K99" s="30"/>
      <x:c r="L99" s="30"/>
    </x:row>
    <x:row r="100" ht="15.75" customHeight="1">
      <x:c r="A100" s="37"/>
      <x:c r="B100" s="6"/>
      <x:c r="C100" s="36"/>
      <x:c r="E100" s="36"/>
      <x:c r="F100" s="30"/>
      <x:c r="G100" s="30"/>
      <x:c r="H100" s="30"/>
      <x:c r="I100" s="30"/>
      <x:c r="J100" s="30"/>
      <x:c r="K100" s="30"/>
      <x:c r="L100" s="30"/>
    </x:row>
    <x:row r="101" ht="15.75" customHeight="1">
      <x:c r="A101" s="37"/>
      <x:c r="B101" s="6"/>
      <x:c r="C101" s="36"/>
      <x:c r="E101" s="36"/>
      <x:c r="F101" s="30"/>
      <x:c r="G101" s="30"/>
      <x:c r="H101" s="30"/>
      <x:c r="I101" s="30"/>
      <x:c r="J101" s="30"/>
      <x:c r="K101" s="30"/>
      <x:c r="L101" s="30"/>
    </x:row>
    <x:row r="102" ht="15.75" customHeight="1">
      <x:c r="A102" s="37"/>
      <x:c r="B102" s="6"/>
      <x:c r="C102" s="36"/>
      <x:c r="E102" s="36"/>
      <x:c r="F102" s="30"/>
      <x:c r="G102" s="30"/>
      <x:c r="H102" s="30"/>
      <x:c r="I102" s="30"/>
      <x:c r="J102" s="30"/>
      <x:c r="K102" s="30"/>
      <x:c r="L102" s="30"/>
    </x:row>
    <x:row r="103" ht="15.75" customHeight="1">
      <x:c r="A103" s="37"/>
      <x:c r="B103" s="6"/>
      <x:c r="C103" s="36"/>
      <x:c r="E103" s="36"/>
      <x:c r="F103" s="30"/>
      <x:c r="G103" s="30"/>
      <x:c r="H103" s="30"/>
      <x:c r="I103" s="30"/>
      <x:c r="J103" s="30"/>
      <x:c r="K103" s="30"/>
      <x:c r="L103" s="30"/>
    </x:row>
    <x:row r="104" ht="15.75" customHeight="1">
      <x:c r="A104" s="37"/>
      <x:c r="B104" s="6"/>
      <x:c r="C104" s="36"/>
      <x:c r="E104" s="36"/>
      <x:c r="F104" s="30"/>
      <x:c r="G104" s="30"/>
      <x:c r="H104" s="30"/>
      <x:c r="I104" s="30"/>
      <x:c r="J104" s="30"/>
      <x:c r="K104" s="30"/>
      <x:c r="L104" s="30"/>
    </x:row>
    <x:row r="105" ht="15.75" customHeight="1">
      <x:c r="A105" s="37"/>
      <x:c r="B105" s="6"/>
      <x:c r="C105" s="36"/>
      <x:c r="E105" s="36"/>
      <x:c r="F105" s="30"/>
      <x:c r="G105" s="30"/>
      <x:c r="H105" s="30"/>
      <x:c r="I105" s="30"/>
      <x:c r="J105" s="30"/>
      <x:c r="K105" s="30"/>
      <x:c r="L105" s="30"/>
    </x:row>
    <x:row r="106" ht="15.75" customHeight="1">
      <x:c r="A106" s="37"/>
      <x:c r="B106" s="6"/>
      <x:c r="C106" s="36"/>
      <x:c r="E106" s="36"/>
      <x:c r="F106" s="30"/>
      <x:c r="G106" s="30"/>
      <x:c r="H106" s="30"/>
      <x:c r="I106" s="30"/>
      <x:c r="J106" s="30"/>
      <x:c r="K106" s="30"/>
      <x:c r="L106" s="30"/>
    </x:row>
    <x:row r="107" ht="15.75" customHeight="1">
      <x:c r="A107" s="37"/>
      <x:c r="B107" s="6"/>
      <x:c r="C107" s="36"/>
      <x:c r="E107" s="36"/>
      <x:c r="F107" s="30"/>
      <x:c r="G107" s="30"/>
      <x:c r="H107" s="30"/>
      <x:c r="I107" s="30"/>
      <x:c r="J107" s="30"/>
      <x:c r="K107" s="30"/>
      <x:c r="L107" s="30"/>
    </x:row>
    <x:row r="108" ht="15.75" customHeight="1">
      <x:c r="A108" s="37"/>
      <x:c r="B108" s="6"/>
      <x:c r="C108" s="36"/>
      <x:c r="E108" s="36"/>
      <x:c r="F108" s="30"/>
      <x:c r="G108" s="30"/>
      <x:c r="H108" s="30"/>
      <x:c r="I108" s="30"/>
      <x:c r="J108" s="30"/>
      <x:c r="K108" s="30"/>
      <x:c r="L108" s="30"/>
    </x:row>
    <x:row r="109" ht="15.75" customHeight="1">
      <x:c r="A109" s="37"/>
      <x:c r="B109" s="6"/>
      <x:c r="C109" s="36"/>
      <x:c r="E109" s="36"/>
      <x:c r="F109" s="30"/>
      <x:c r="G109" s="30"/>
      <x:c r="H109" s="30"/>
      <x:c r="I109" s="30"/>
      <x:c r="J109" s="30"/>
      <x:c r="K109" s="30"/>
      <x:c r="L109" s="30"/>
    </x:row>
    <x:row r="110" ht="15.75" customHeight="1">
      <x:c r="A110" s="37"/>
      <x:c r="B110" s="6"/>
      <x:c r="C110" s="36"/>
      <x:c r="E110" s="36"/>
      <x:c r="F110" s="30"/>
      <x:c r="G110" s="30"/>
      <x:c r="H110" s="30"/>
      <x:c r="I110" s="30"/>
      <x:c r="J110" s="30"/>
      <x:c r="K110" s="30"/>
      <x:c r="L110" s="30"/>
    </x:row>
    <x:row r="111" ht="15.75" customHeight="1">
      <x:c r="A111" s="37"/>
      <x:c r="B111" s="6"/>
      <x:c r="C111" s="36"/>
      <x:c r="E111" s="36"/>
      <x:c r="F111" s="30"/>
      <x:c r="G111" s="30"/>
      <x:c r="H111" s="30"/>
      <x:c r="I111" s="30"/>
      <x:c r="J111" s="30"/>
      <x:c r="K111" s="30"/>
      <x:c r="L111" s="30"/>
    </x:row>
    <x:row r="112" ht="15.75" customHeight="1">
      <x:c r="A112" s="37"/>
      <x:c r="B112" s="6"/>
      <x:c r="C112" s="36"/>
      <x:c r="E112" s="36"/>
      <x:c r="F112" s="30"/>
      <x:c r="G112" s="30"/>
      <x:c r="H112" s="30"/>
      <x:c r="I112" s="30"/>
      <x:c r="J112" s="30"/>
      <x:c r="K112" s="30"/>
      <x:c r="L112" s="30"/>
    </x:row>
    <x:row r="113" ht="15.75" customHeight="1">
      <x:c r="A113" s="37"/>
      <x:c r="B113" s="6"/>
      <x:c r="C113" s="36"/>
      <x:c r="E113" s="36"/>
      <x:c r="F113" s="30"/>
      <x:c r="G113" s="30"/>
      <x:c r="H113" s="30"/>
      <x:c r="I113" s="30"/>
      <x:c r="J113" s="30"/>
      <x:c r="K113" s="30"/>
      <x:c r="L113" s="30"/>
    </x:row>
    <x:row r="114" ht="15.75" customHeight="1">
      <x:c r="A114" s="37"/>
      <x:c r="B114" s="6"/>
      <x:c r="C114" s="36"/>
      <x:c r="E114" s="36"/>
      <x:c r="F114" s="30"/>
      <x:c r="G114" s="30"/>
      <x:c r="H114" s="30"/>
      <x:c r="I114" s="30"/>
      <x:c r="J114" s="30"/>
      <x:c r="K114" s="30"/>
      <x:c r="L114" s="30"/>
    </x:row>
    <x:row r="115" ht="15.75" customHeight="1">
      <x:c r="A115" s="37"/>
      <x:c r="B115" s="6"/>
      <x:c r="C115" s="36"/>
      <x:c r="E115" s="36"/>
      <x:c r="F115" s="30"/>
      <x:c r="G115" s="30"/>
      <x:c r="H115" s="30"/>
      <x:c r="I115" s="30"/>
      <x:c r="J115" s="30"/>
      <x:c r="K115" s="30"/>
      <x:c r="L115" s="30"/>
    </x:row>
    <x:row r="116" ht="15.75" customHeight="1">
      <x:c r="A116" s="37"/>
      <x:c r="B116" s="6"/>
      <x:c r="C116" s="36"/>
      <x:c r="E116" s="36"/>
      <x:c r="F116" s="30"/>
      <x:c r="G116" s="30"/>
      <x:c r="H116" s="30"/>
      <x:c r="I116" s="30"/>
      <x:c r="J116" s="30"/>
      <x:c r="K116" s="30"/>
      <x:c r="L116" s="30"/>
    </x:row>
    <x:row r="117" ht="15.75" customHeight="1">
      <x:c r="A117" s="37"/>
      <x:c r="B117" s="6"/>
      <x:c r="C117" s="36"/>
      <x:c r="E117" s="36"/>
      <x:c r="F117" s="30"/>
      <x:c r="G117" s="30"/>
      <x:c r="H117" s="30"/>
      <x:c r="I117" s="30"/>
      <x:c r="J117" s="30"/>
      <x:c r="K117" s="30"/>
      <x:c r="L117" s="30"/>
    </x:row>
    <x:row r="118" ht="15.75" customHeight="1">
      <x:c r="A118" s="37"/>
      <x:c r="B118" s="6"/>
      <x:c r="C118" s="36"/>
      <x:c r="E118" s="36"/>
      <x:c r="F118" s="30"/>
      <x:c r="G118" s="30"/>
      <x:c r="H118" s="30"/>
      <x:c r="I118" s="30"/>
      <x:c r="J118" s="30"/>
      <x:c r="K118" s="30"/>
      <x:c r="L118" s="30"/>
    </x:row>
    <x:row r="119" ht="15.75" customHeight="1">
      <x:c r="A119" s="37"/>
      <x:c r="B119" s="6"/>
      <x:c r="C119" s="36"/>
      <x:c r="E119" s="36"/>
      <x:c r="F119" s="30"/>
      <x:c r="G119" s="30"/>
      <x:c r="H119" s="30"/>
      <x:c r="I119" s="30"/>
      <x:c r="J119" s="30"/>
      <x:c r="K119" s="30"/>
      <x:c r="L119" s="30"/>
    </x:row>
    <x:row r="120" ht="15.75" customHeight="1">
      <x:c r="A120" s="37"/>
      <x:c r="B120" s="6"/>
      <x:c r="C120" s="36"/>
      <x:c r="E120" s="36"/>
      <x:c r="F120" s="30"/>
      <x:c r="G120" s="30"/>
      <x:c r="H120" s="30"/>
      <x:c r="I120" s="30"/>
      <x:c r="J120" s="30"/>
      <x:c r="K120" s="30"/>
      <x:c r="L120" s="30"/>
    </x:row>
    <x:row r="121" ht="15.75" customHeight="1">
      <x:c r="A121" s="37"/>
      <x:c r="B121" s="6"/>
      <x:c r="C121" s="36"/>
      <x:c r="E121" s="36"/>
      <x:c r="F121" s="30"/>
      <x:c r="G121" s="30"/>
      <x:c r="H121" s="30"/>
      <x:c r="I121" s="30"/>
      <x:c r="J121" s="30"/>
      <x:c r="K121" s="30"/>
      <x:c r="L121" s="30"/>
    </x:row>
    <x:row r="122" ht="15.75" customHeight="1">
      <x:c r="A122" s="37"/>
      <x:c r="B122" s="6"/>
      <x:c r="C122" s="36"/>
      <x:c r="E122" s="36"/>
      <x:c r="F122" s="30"/>
      <x:c r="G122" s="30"/>
      <x:c r="H122" s="30"/>
      <x:c r="I122" s="30"/>
      <x:c r="J122" s="30"/>
      <x:c r="K122" s="30"/>
      <x:c r="L122" s="30"/>
    </x:row>
    <x:row r="123" ht="15.75" customHeight="1">
      <x:c r="A123" s="37"/>
      <x:c r="B123" s="6"/>
      <x:c r="C123" s="36"/>
      <x:c r="E123" s="36"/>
      <x:c r="F123" s="30"/>
      <x:c r="G123" s="30"/>
      <x:c r="H123" s="30"/>
      <x:c r="I123" s="30"/>
      <x:c r="J123" s="30"/>
      <x:c r="K123" s="30"/>
      <x:c r="L123" s="30"/>
    </x:row>
    <x:row r="124" ht="15.75" customHeight="1">
      <x:c r="A124" s="37"/>
      <x:c r="B124" s="6"/>
      <x:c r="C124" s="36"/>
      <x:c r="E124" s="36"/>
      <x:c r="F124" s="30"/>
      <x:c r="G124" s="30"/>
      <x:c r="H124" s="30"/>
      <x:c r="I124" s="30"/>
      <x:c r="J124" s="30"/>
      <x:c r="K124" s="30"/>
      <x:c r="L124" s="30"/>
    </x:row>
    <x:row r="125" ht="15.75" customHeight="1">
      <x:c r="A125" s="37"/>
      <x:c r="B125" s="6"/>
      <x:c r="C125" s="36"/>
      <x:c r="E125" s="36"/>
      <x:c r="F125" s="30"/>
      <x:c r="G125" s="30"/>
      <x:c r="H125" s="30"/>
      <x:c r="I125" s="30"/>
      <x:c r="J125" s="30"/>
      <x:c r="K125" s="30"/>
      <x:c r="L125" s="30"/>
    </x:row>
    <x:row r="126" ht="15.75" customHeight="1">
      <x:c r="A126" s="37"/>
      <x:c r="B126" s="6"/>
      <x:c r="C126" s="36"/>
      <x:c r="E126" s="36"/>
      <x:c r="F126" s="30"/>
      <x:c r="G126" s="30"/>
      <x:c r="H126" s="30"/>
      <x:c r="I126" s="30"/>
      <x:c r="J126" s="30"/>
      <x:c r="K126" s="30"/>
      <x:c r="L126" s="30"/>
    </x:row>
    <x:row r="127" ht="15.75" customHeight="1">
      <x:c r="A127" s="37"/>
      <x:c r="B127" s="6"/>
      <x:c r="C127" s="36"/>
      <x:c r="E127" s="36"/>
      <x:c r="F127" s="30"/>
      <x:c r="G127" s="30"/>
      <x:c r="H127" s="30"/>
      <x:c r="I127" s="30"/>
      <x:c r="J127" s="30"/>
      <x:c r="K127" s="30"/>
      <x:c r="L127" s="30"/>
    </x:row>
    <x:row r="128" ht="15.75" customHeight="1">
      <x:c r="A128" s="37"/>
      <x:c r="B128" s="6"/>
      <x:c r="C128" s="36"/>
      <x:c r="E128" s="36"/>
      <x:c r="F128" s="30"/>
      <x:c r="G128" s="30"/>
      <x:c r="H128" s="30"/>
      <x:c r="I128" s="30"/>
      <x:c r="J128" s="30"/>
      <x:c r="K128" s="30"/>
      <x:c r="L128" s="30"/>
    </x:row>
    <x:row r="129" ht="15.75" customHeight="1">
      <x:c r="A129" s="37"/>
      <x:c r="B129" s="6"/>
      <x:c r="C129" s="36"/>
      <x:c r="E129" s="36"/>
      <x:c r="F129" s="30"/>
      <x:c r="G129" s="30"/>
      <x:c r="H129" s="30"/>
      <x:c r="I129" s="30"/>
      <x:c r="J129" s="30"/>
      <x:c r="K129" s="30"/>
      <x:c r="L129" s="30"/>
    </x:row>
    <x:row r="130" ht="15.75" customHeight="1">
      <x:c r="A130" s="37"/>
      <x:c r="B130" s="6"/>
      <x:c r="C130" s="36"/>
      <x:c r="E130" s="36"/>
      <x:c r="F130" s="30"/>
      <x:c r="G130" s="30"/>
      <x:c r="H130" s="30"/>
      <x:c r="I130" s="30"/>
      <x:c r="J130" s="30"/>
      <x:c r="K130" s="30"/>
      <x:c r="L130" s="30"/>
    </x:row>
    <x:row r="131" ht="15.75" customHeight="1">
      <x:c r="A131" s="37"/>
      <x:c r="B131" s="6"/>
      <x:c r="C131" s="36"/>
      <x:c r="E131" s="36"/>
      <x:c r="F131" s="30"/>
      <x:c r="G131" s="30"/>
      <x:c r="H131" s="30"/>
      <x:c r="I131" s="30"/>
      <x:c r="J131" s="30"/>
      <x:c r="K131" s="30"/>
      <x:c r="L131" s="30"/>
    </x:row>
    <x:row r="132" ht="15.75" customHeight="1">
      <x:c r="A132" s="37"/>
      <x:c r="B132" s="6"/>
      <x:c r="C132" s="36"/>
      <x:c r="E132" s="36"/>
      <x:c r="F132" s="30"/>
      <x:c r="G132" s="30"/>
      <x:c r="H132" s="30"/>
      <x:c r="I132" s="30"/>
      <x:c r="J132" s="30"/>
      <x:c r="K132" s="30"/>
      <x:c r="L132" s="30"/>
    </x:row>
    <x:row r="133" ht="15.75" customHeight="1">
      <x:c r="A133" s="37"/>
      <x:c r="B133" s="6"/>
      <x:c r="C133" s="36"/>
      <x:c r="E133" s="36"/>
      <x:c r="F133" s="30"/>
      <x:c r="G133" s="30"/>
      <x:c r="H133" s="30"/>
      <x:c r="I133" s="30"/>
      <x:c r="J133" s="30"/>
      <x:c r="K133" s="30"/>
      <x:c r="L133" s="30"/>
    </x:row>
    <x:row r="134" ht="15.75" customHeight="1">
      <x:c r="A134" s="37"/>
      <x:c r="B134" s="6"/>
      <x:c r="C134" s="36"/>
      <x:c r="E134" s="36"/>
      <x:c r="F134" s="30"/>
      <x:c r="G134" s="30"/>
      <x:c r="H134" s="30"/>
      <x:c r="I134" s="30"/>
      <x:c r="J134" s="30"/>
      <x:c r="K134" s="30"/>
      <x:c r="L134" s="30"/>
    </x:row>
    <x:row r="135" ht="15.75" customHeight="1">
      <x:c r="A135" s="37"/>
      <x:c r="B135" s="6"/>
      <x:c r="C135" s="36"/>
      <x:c r="E135" s="36"/>
      <x:c r="F135" s="30"/>
      <x:c r="G135" s="30"/>
      <x:c r="H135" s="30"/>
      <x:c r="I135" s="30"/>
      <x:c r="J135" s="30"/>
      <x:c r="K135" s="30"/>
      <x:c r="L135" s="30"/>
    </x:row>
    <x:row r="136" ht="15.75" customHeight="1">
      <x:c r="A136" s="37"/>
      <x:c r="B136" s="6"/>
      <x:c r="C136" s="36"/>
      <x:c r="E136" s="36"/>
      <x:c r="F136" s="30"/>
      <x:c r="G136" s="30"/>
      <x:c r="H136" s="30"/>
      <x:c r="I136" s="30"/>
      <x:c r="J136" s="30"/>
      <x:c r="K136" s="30"/>
      <x:c r="L136" s="30"/>
    </x:row>
    <x:row r="137" ht="15.75" customHeight="1">
      <x:c r="A137" s="37"/>
      <x:c r="B137" s="6"/>
      <x:c r="C137" s="36"/>
      <x:c r="E137" s="36"/>
      <x:c r="F137" s="30"/>
      <x:c r="G137" s="30"/>
      <x:c r="H137" s="30"/>
      <x:c r="I137" s="30"/>
      <x:c r="J137" s="30"/>
      <x:c r="K137" s="30"/>
      <x:c r="L137" s="30"/>
    </x:row>
    <x:row r="138" ht="15.75" customHeight="1">
      <x:c r="A138" s="37"/>
      <x:c r="B138" s="6"/>
      <x:c r="C138" s="36"/>
      <x:c r="E138" s="36"/>
      <x:c r="F138" s="30"/>
      <x:c r="G138" s="30"/>
      <x:c r="H138" s="30"/>
      <x:c r="I138" s="30"/>
      <x:c r="J138" s="30"/>
      <x:c r="K138" s="30"/>
      <x:c r="L138" s="30"/>
    </x:row>
    <x:row r="139" ht="15.75" customHeight="1">
      <x:c r="A139" s="37"/>
      <x:c r="B139" s="6"/>
      <x:c r="C139" s="36"/>
      <x:c r="E139" s="36"/>
      <x:c r="F139" s="30"/>
      <x:c r="G139" s="30"/>
      <x:c r="H139" s="30"/>
      <x:c r="I139" s="30"/>
      <x:c r="J139" s="30"/>
      <x:c r="K139" s="30"/>
      <x:c r="L139" s="30"/>
    </x:row>
    <x:row r="140" ht="15.75" customHeight="1">
      <x:c r="A140" s="37"/>
      <x:c r="B140" s="6"/>
      <x:c r="C140" s="36"/>
      <x:c r="E140" s="36"/>
      <x:c r="F140" s="30"/>
      <x:c r="G140" s="30"/>
      <x:c r="H140" s="30"/>
      <x:c r="I140" s="30"/>
      <x:c r="J140" s="30"/>
      <x:c r="K140" s="30"/>
      <x:c r="L140" s="30"/>
    </x:row>
    <x:row r="141" ht="15.75" customHeight="1">
      <x:c r="A141" s="37"/>
      <x:c r="B141" s="6"/>
      <x:c r="C141" s="36"/>
      <x:c r="E141" s="36"/>
      <x:c r="F141" s="30"/>
      <x:c r="G141" s="30"/>
      <x:c r="H141" s="30"/>
      <x:c r="I141" s="30"/>
      <x:c r="J141" s="30"/>
      <x:c r="K141" s="30"/>
      <x:c r="L141" s="30"/>
    </x:row>
    <x:row r="142" ht="15.75" customHeight="1">
      <x:c r="A142" s="37"/>
      <x:c r="B142" s="6"/>
      <x:c r="C142" s="36"/>
      <x:c r="E142" s="36"/>
      <x:c r="F142" s="30"/>
      <x:c r="G142" s="30"/>
      <x:c r="H142" s="30"/>
      <x:c r="I142" s="30"/>
      <x:c r="J142" s="30"/>
      <x:c r="K142" s="30"/>
      <x:c r="L142" s="30"/>
    </x:row>
    <x:row r="143" ht="15.75" customHeight="1">
      <x:c r="A143" s="37"/>
      <x:c r="B143" s="6"/>
      <x:c r="C143" s="36"/>
      <x:c r="E143" s="36"/>
      <x:c r="F143" s="30"/>
      <x:c r="G143" s="30"/>
      <x:c r="H143" s="30"/>
      <x:c r="I143" s="30"/>
      <x:c r="J143" s="30"/>
      <x:c r="K143" s="30"/>
      <x:c r="L143" s="30"/>
    </x:row>
    <x:row r="144" ht="15.75" customHeight="1">
      <x:c r="A144" s="37"/>
      <x:c r="B144" s="6"/>
      <x:c r="C144" s="36"/>
      <x:c r="E144" s="36"/>
      <x:c r="F144" s="30"/>
      <x:c r="G144" s="30"/>
      <x:c r="H144" s="30"/>
      <x:c r="I144" s="30"/>
      <x:c r="J144" s="30"/>
      <x:c r="K144" s="30"/>
      <x:c r="L144" s="30"/>
    </x:row>
    <x:row r="145" ht="15.75" customHeight="1">
      <x:c r="A145" s="37"/>
      <x:c r="B145" s="6"/>
      <x:c r="C145" s="36"/>
      <x:c r="E145" s="36"/>
      <x:c r="F145" s="30"/>
      <x:c r="G145" s="30"/>
      <x:c r="H145" s="30"/>
      <x:c r="I145" s="30"/>
      <x:c r="J145" s="30"/>
      <x:c r="K145" s="30"/>
      <x:c r="L145" s="30"/>
    </x:row>
    <x:row r="146" ht="15.75" customHeight="1">
      <x:c r="A146" s="37"/>
      <x:c r="B146" s="6"/>
      <x:c r="C146" s="36"/>
      <x:c r="E146" s="36"/>
      <x:c r="F146" s="30"/>
      <x:c r="G146" s="30"/>
      <x:c r="H146" s="30"/>
      <x:c r="I146" s="30"/>
      <x:c r="J146" s="30"/>
      <x:c r="K146" s="30"/>
      <x:c r="L146" s="30"/>
    </x:row>
    <x:row r="147" ht="15.75" customHeight="1">
      <x:c r="A147" s="37"/>
      <x:c r="B147" s="6"/>
      <x:c r="C147" s="36"/>
      <x:c r="E147" s="36"/>
      <x:c r="F147" s="30"/>
      <x:c r="G147" s="30"/>
      <x:c r="H147" s="30"/>
      <x:c r="I147" s="30"/>
      <x:c r="J147" s="30"/>
      <x:c r="K147" s="30"/>
      <x:c r="L147" s="30"/>
    </x:row>
    <x:row r="148" ht="15.75" customHeight="1">
      <x:c r="A148" s="37"/>
      <x:c r="B148" s="6"/>
      <x:c r="C148" s="36"/>
      <x:c r="E148" s="36"/>
      <x:c r="F148" s="30"/>
      <x:c r="G148" s="30"/>
      <x:c r="H148" s="30"/>
      <x:c r="I148" s="30"/>
      <x:c r="J148" s="30"/>
      <x:c r="K148" s="30"/>
      <x:c r="L148" s="30"/>
    </x:row>
    <x:row r="149" ht="15.75" customHeight="1">
      <x:c r="A149" s="37"/>
      <x:c r="B149" s="6"/>
      <x:c r="C149" s="36"/>
      <x:c r="E149" s="36"/>
      <x:c r="F149" s="30"/>
      <x:c r="G149" s="30"/>
      <x:c r="H149" s="30"/>
      <x:c r="I149" s="30"/>
      <x:c r="J149" s="30"/>
      <x:c r="K149" s="30"/>
      <x:c r="L149" s="30"/>
    </x:row>
    <x:row r="150" ht="15.75" customHeight="1">
      <x:c r="A150" s="37"/>
      <x:c r="B150" s="6"/>
      <x:c r="C150" s="36"/>
      <x:c r="E150" s="36"/>
      <x:c r="F150" s="30"/>
      <x:c r="G150" s="30"/>
      <x:c r="H150" s="30"/>
      <x:c r="I150" s="30"/>
      <x:c r="J150" s="30"/>
      <x:c r="K150" s="30"/>
      <x:c r="L150" s="30"/>
    </x:row>
    <x:row r="151" ht="15.75" customHeight="1">
      <x:c r="A151" s="37"/>
      <x:c r="B151" s="6"/>
      <x:c r="C151" s="36"/>
      <x:c r="E151" s="36"/>
      <x:c r="F151" s="30"/>
      <x:c r="G151" s="30"/>
      <x:c r="H151" s="30"/>
      <x:c r="I151" s="30"/>
      <x:c r="J151" s="30"/>
      <x:c r="K151" s="30"/>
      <x:c r="L151" s="30"/>
    </x:row>
    <x:row r="152" ht="15.75" customHeight="1">
      <x:c r="A152" s="37"/>
      <x:c r="B152" s="6"/>
      <x:c r="C152" s="36"/>
      <x:c r="E152" s="36"/>
      <x:c r="F152" s="30"/>
      <x:c r="G152" s="30"/>
      <x:c r="H152" s="30"/>
      <x:c r="I152" s="30"/>
      <x:c r="J152" s="30"/>
      <x:c r="K152" s="30"/>
      <x:c r="L152" s="30"/>
    </x:row>
    <x:row r="153" ht="15.75" customHeight="1">
      <x:c r="A153" s="37"/>
      <x:c r="B153" s="6"/>
      <x:c r="C153" s="36"/>
      <x:c r="E153" s="36"/>
      <x:c r="F153" s="30"/>
      <x:c r="G153" s="30"/>
      <x:c r="H153" s="30"/>
      <x:c r="I153" s="30"/>
      <x:c r="J153" s="30"/>
      <x:c r="K153" s="30"/>
      <x:c r="L153" s="30"/>
    </x:row>
    <x:row r="154" ht="15.75" customHeight="1">
      <x:c r="A154" s="37"/>
      <x:c r="B154" s="6"/>
      <x:c r="C154" s="36"/>
      <x:c r="E154" s="36"/>
      <x:c r="F154" s="30"/>
      <x:c r="G154" s="30"/>
      <x:c r="H154" s="30"/>
      <x:c r="I154" s="30"/>
      <x:c r="J154" s="30"/>
      <x:c r="K154" s="30"/>
      <x:c r="L154" s="30"/>
    </x:row>
    <x:row r="155" ht="15.75" customHeight="1">
      <x:c r="A155" s="37"/>
      <x:c r="B155" s="6"/>
      <x:c r="C155" s="36"/>
      <x:c r="E155" s="36"/>
      <x:c r="F155" s="30"/>
      <x:c r="G155" s="30"/>
      <x:c r="H155" s="30"/>
      <x:c r="I155" s="30"/>
      <x:c r="J155" s="30"/>
      <x:c r="K155" s="30"/>
      <x:c r="L155" s="30"/>
    </x:row>
    <x:row r="156" ht="15.75" customHeight="1">
      <x:c r="A156" s="37"/>
      <x:c r="B156" s="6"/>
      <x:c r="C156" s="36"/>
      <x:c r="E156" s="36"/>
      <x:c r="F156" s="30"/>
      <x:c r="G156" s="30"/>
      <x:c r="H156" s="30"/>
      <x:c r="I156" s="30"/>
      <x:c r="J156" s="30"/>
      <x:c r="K156" s="30"/>
      <x:c r="L156" s="30"/>
    </x:row>
    <x:row r="157" ht="15.75" customHeight="1">
      <x:c r="A157" s="37"/>
      <x:c r="B157" s="6"/>
      <x:c r="C157" s="36"/>
      <x:c r="E157" s="36"/>
      <x:c r="F157" s="30"/>
      <x:c r="G157" s="30"/>
      <x:c r="H157" s="30"/>
      <x:c r="I157" s="30"/>
      <x:c r="J157" s="30"/>
      <x:c r="K157" s="30"/>
      <x:c r="L157" s="30"/>
    </x:row>
    <x:row r="158" ht="15.75" customHeight="1">
      <x:c r="A158" s="37"/>
      <x:c r="B158" s="6"/>
      <x:c r="C158" s="36"/>
      <x:c r="E158" s="36"/>
      <x:c r="F158" s="30"/>
      <x:c r="G158" s="30"/>
      <x:c r="H158" s="30"/>
      <x:c r="I158" s="30"/>
      <x:c r="J158" s="30"/>
      <x:c r="K158" s="30"/>
      <x:c r="L158" s="30"/>
    </x:row>
    <x:row r="159" ht="15.75" customHeight="1">
      <x:c r="A159" s="37"/>
      <x:c r="B159" s="6"/>
      <x:c r="C159" s="36"/>
      <x:c r="E159" s="36"/>
      <x:c r="F159" s="30"/>
      <x:c r="G159" s="30"/>
      <x:c r="H159" s="30"/>
      <x:c r="I159" s="30"/>
      <x:c r="J159" s="30"/>
      <x:c r="K159" s="30"/>
      <x:c r="L159" s="30"/>
    </x:row>
    <x:row r="160" ht="15.75" customHeight="1">
      <x:c r="A160" s="37"/>
      <x:c r="B160" s="6"/>
      <x:c r="C160" s="36"/>
      <x:c r="E160" s="36"/>
      <x:c r="F160" s="30"/>
      <x:c r="G160" s="30"/>
      <x:c r="H160" s="30"/>
      <x:c r="I160" s="30"/>
      <x:c r="J160" s="30"/>
      <x:c r="K160" s="30"/>
      <x:c r="L160" s="30"/>
    </x:row>
    <x:row r="161" ht="15.75" customHeight="1">
      <x:c r="A161" s="37"/>
      <x:c r="B161" s="6"/>
      <x:c r="C161" s="36"/>
      <x:c r="E161" s="36"/>
      <x:c r="F161" s="30"/>
      <x:c r="G161" s="30"/>
      <x:c r="H161" s="30"/>
      <x:c r="I161" s="30"/>
      <x:c r="J161" s="30"/>
      <x:c r="K161" s="30"/>
      <x:c r="L161" s="30"/>
    </x:row>
    <x:row r="162" ht="15.75" customHeight="1">
      <x:c r="A162" s="37"/>
      <x:c r="B162" s="6"/>
      <x:c r="C162" s="36"/>
      <x:c r="E162" s="36"/>
      <x:c r="F162" s="30"/>
      <x:c r="G162" s="30"/>
      <x:c r="H162" s="30"/>
      <x:c r="I162" s="30"/>
      <x:c r="J162" s="30"/>
      <x:c r="K162" s="30"/>
      <x:c r="L162" s="30"/>
    </x:row>
    <x:row r="163" ht="15.75" customHeight="1">
      <x:c r="A163" s="37"/>
      <x:c r="B163" s="6"/>
      <x:c r="C163" s="36"/>
      <x:c r="E163" s="36"/>
      <x:c r="F163" s="30"/>
      <x:c r="G163" s="30"/>
      <x:c r="H163" s="30"/>
      <x:c r="I163" s="30"/>
      <x:c r="J163" s="30"/>
      <x:c r="K163" s="30"/>
      <x:c r="L163" s="30"/>
    </x:row>
    <x:row r="164" ht="15.75" customHeight="1">
      <x:c r="A164" s="37"/>
      <x:c r="B164" s="6"/>
      <x:c r="C164" s="36"/>
      <x:c r="E164" s="36"/>
      <x:c r="F164" s="30"/>
      <x:c r="G164" s="30"/>
      <x:c r="H164" s="30"/>
      <x:c r="I164" s="30"/>
      <x:c r="J164" s="30"/>
      <x:c r="K164" s="30"/>
      <x:c r="L164" s="30"/>
    </x:row>
    <x:row r="165" ht="15.75" customHeight="1">
      <x:c r="A165" s="37"/>
      <x:c r="B165" s="6"/>
      <x:c r="C165" s="36"/>
      <x:c r="E165" s="36"/>
      <x:c r="F165" s="30"/>
      <x:c r="G165" s="30"/>
      <x:c r="H165" s="30"/>
      <x:c r="I165" s="30"/>
      <x:c r="J165" s="30"/>
      <x:c r="K165" s="30"/>
      <x:c r="L165" s="30"/>
    </x:row>
    <x:row r="166" ht="15.75" customHeight="1">
      <x:c r="A166" s="37"/>
      <x:c r="B166" s="6"/>
      <x:c r="C166" s="36"/>
      <x:c r="E166" s="36"/>
      <x:c r="F166" s="30"/>
      <x:c r="G166" s="30"/>
      <x:c r="H166" s="30"/>
      <x:c r="I166" s="30"/>
      <x:c r="J166" s="30"/>
      <x:c r="K166" s="30"/>
      <x:c r="L166" s="30"/>
    </x:row>
    <x:row r="167" ht="15.75" customHeight="1">
      <x:c r="A167" s="37"/>
      <x:c r="B167" s="6"/>
      <x:c r="C167" s="36"/>
      <x:c r="E167" s="36"/>
      <x:c r="F167" s="30"/>
      <x:c r="G167" s="30"/>
      <x:c r="H167" s="30"/>
      <x:c r="I167" s="30"/>
      <x:c r="J167" s="30"/>
      <x:c r="K167" s="30"/>
      <x:c r="L167" s="30"/>
    </x:row>
    <x:row r="168" ht="15.75" customHeight="1">
      <x:c r="A168" s="37"/>
      <x:c r="B168" s="6"/>
      <x:c r="C168" s="36"/>
      <x:c r="E168" s="36"/>
      <x:c r="F168" s="30"/>
      <x:c r="G168" s="30"/>
      <x:c r="H168" s="30"/>
      <x:c r="I168" s="30"/>
      <x:c r="J168" s="30"/>
      <x:c r="K168" s="30"/>
      <x:c r="L168" s="30"/>
    </x:row>
    <x:row r="169" ht="15.75" customHeight="1">
      <x:c r="A169" s="37"/>
      <x:c r="B169" s="6"/>
      <x:c r="C169" s="36"/>
      <x:c r="E169" s="36"/>
      <x:c r="F169" s="30"/>
      <x:c r="G169" s="30"/>
      <x:c r="H169" s="30"/>
      <x:c r="I169" s="30"/>
      <x:c r="J169" s="30"/>
      <x:c r="K169" s="30"/>
      <x:c r="L169" s="30"/>
    </x:row>
    <x:row r="170" ht="15.75" customHeight="1">
      <x:c r="A170" s="37"/>
      <x:c r="B170" s="6"/>
      <x:c r="C170" s="36"/>
      <x:c r="E170" s="36"/>
      <x:c r="F170" s="30"/>
      <x:c r="G170" s="30"/>
      <x:c r="H170" s="30"/>
      <x:c r="I170" s="30"/>
      <x:c r="J170" s="30"/>
      <x:c r="K170" s="30"/>
      <x:c r="L170" s="30"/>
    </x:row>
    <x:row r="171" ht="15.75" customHeight="1">
      <x:c r="A171" s="37"/>
      <x:c r="B171" s="6"/>
      <x:c r="C171" s="36"/>
      <x:c r="E171" s="36"/>
      <x:c r="F171" s="30"/>
      <x:c r="G171" s="30"/>
      <x:c r="H171" s="30"/>
      <x:c r="I171" s="30"/>
      <x:c r="J171" s="30"/>
      <x:c r="K171" s="30"/>
      <x:c r="L171" s="30"/>
    </x:row>
    <x:row r="172" ht="15.75" customHeight="1">
      <x:c r="A172" s="37"/>
      <x:c r="B172" s="6"/>
      <x:c r="C172" s="36"/>
      <x:c r="E172" s="36"/>
      <x:c r="F172" s="30"/>
      <x:c r="G172" s="30"/>
      <x:c r="H172" s="30"/>
      <x:c r="I172" s="30"/>
      <x:c r="J172" s="30"/>
      <x:c r="K172" s="30"/>
      <x:c r="L172" s="30"/>
    </x:row>
    <x:row r="173" ht="15.75" customHeight="1">
      <x:c r="A173" s="37"/>
      <x:c r="B173" s="6"/>
      <x:c r="C173" s="36"/>
      <x:c r="E173" s="36"/>
      <x:c r="F173" s="30"/>
      <x:c r="G173" s="30"/>
      <x:c r="H173" s="30"/>
      <x:c r="I173" s="30"/>
      <x:c r="J173" s="30"/>
      <x:c r="K173" s="30"/>
      <x:c r="L173" s="30"/>
    </x:row>
    <x:row r="174" ht="15.75" customHeight="1">
      <x:c r="A174" s="37"/>
      <x:c r="B174" s="6"/>
      <x:c r="C174" s="36"/>
      <x:c r="E174" s="36"/>
      <x:c r="F174" s="30"/>
      <x:c r="G174" s="30"/>
      <x:c r="H174" s="30"/>
      <x:c r="I174" s="30"/>
      <x:c r="J174" s="30"/>
      <x:c r="K174" s="30"/>
      <x:c r="L174" s="30"/>
    </x:row>
    <x:row r="175" ht="15.75" customHeight="1">
      <x:c r="A175" s="37"/>
      <x:c r="B175" s="6"/>
      <x:c r="C175" s="36"/>
      <x:c r="E175" s="36"/>
      <x:c r="F175" s="30"/>
      <x:c r="G175" s="30"/>
      <x:c r="H175" s="30"/>
      <x:c r="I175" s="30"/>
      <x:c r="J175" s="30"/>
      <x:c r="K175" s="30"/>
      <x:c r="L175" s="30"/>
    </x:row>
    <x:row r="176" ht="15.75" customHeight="1">
      <x:c r="A176" s="37"/>
      <x:c r="B176" s="6"/>
      <x:c r="C176" s="36"/>
      <x:c r="E176" s="36"/>
      <x:c r="F176" s="30"/>
      <x:c r="G176" s="30"/>
      <x:c r="H176" s="30"/>
      <x:c r="I176" s="30"/>
      <x:c r="J176" s="30"/>
      <x:c r="K176" s="30"/>
      <x:c r="L176" s="30"/>
    </x:row>
    <x:row r="177" ht="15.75" customHeight="1">
      <x:c r="A177" s="37"/>
      <x:c r="B177" s="6"/>
      <x:c r="C177" s="36"/>
      <x:c r="E177" s="36"/>
      <x:c r="F177" s="30"/>
      <x:c r="G177" s="30"/>
      <x:c r="H177" s="30"/>
      <x:c r="I177" s="30"/>
      <x:c r="J177" s="30"/>
      <x:c r="K177" s="30"/>
      <x:c r="L177" s="30"/>
    </x:row>
    <x:row r="178" ht="15.75" customHeight="1">
      <x:c r="A178" s="37"/>
      <x:c r="B178" s="6"/>
      <x:c r="C178" s="36"/>
      <x:c r="E178" s="36"/>
      <x:c r="F178" s="30"/>
      <x:c r="G178" s="30"/>
      <x:c r="H178" s="30"/>
      <x:c r="I178" s="30"/>
      <x:c r="J178" s="30"/>
      <x:c r="K178" s="30"/>
      <x:c r="L178" s="30"/>
    </x:row>
    <x:row r="179" ht="15.75" customHeight="1">
      <x:c r="A179" s="37"/>
      <x:c r="B179" s="6"/>
      <x:c r="C179" s="36"/>
      <x:c r="E179" s="36"/>
      <x:c r="F179" s="30"/>
      <x:c r="G179" s="30"/>
      <x:c r="H179" s="30"/>
      <x:c r="I179" s="30"/>
      <x:c r="J179" s="30"/>
      <x:c r="K179" s="30"/>
      <x:c r="L179" s="30"/>
    </x:row>
    <x:row r="180" ht="15.75" customHeight="1">
      <x:c r="A180" s="37"/>
      <x:c r="B180" s="6"/>
      <x:c r="C180" s="36"/>
      <x:c r="E180" s="36"/>
      <x:c r="F180" s="30"/>
      <x:c r="G180" s="30"/>
      <x:c r="H180" s="30"/>
      <x:c r="I180" s="30"/>
      <x:c r="J180" s="30"/>
      <x:c r="K180" s="30"/>
      <x:c r="L180" s="30"/>
    </x:row>
    <x:row r="181" ht="15.75" customHeight="1">
      <x:c r="A181" s="37"/>
      <x:c r="B181" s="6"/>
      <x:c r="C181" s="36"/>
      <x:c r="E181" s="36"/>
      <x:c r="F181" s="30"/>
      <x:c r="G181" s="30"/>
      <x:c r="H181" s="30"/>
      <x:c r="I181" s="30"/>
      <x:c r="J181" s="30"/>
      <x:c r="K181" s="30"/>
      <x:c r="L181" s="30"/>
    </x:row>
    <x:row r="182" ht="15.75" customHeight="1">
      <x:c r="A182" s="37"/>
      <x:c r="B182" s="6"/>
      <x:c r="C182" s="36"/>
      <x:c r="E182" s="36"/>
      <x:c r="F182" s="30"/>
      <x:c r="G182" s="30"/>
      <x:c r="H182" s="30"/>
      <x:c r="I182" s="30"/>
      <x:c r="J182" s="30"/>
      <x:c r="K182" s="30"/>
      <x:c r="L182" s="30"/>
    </x:row>
    <x:row r="183" ht="15.75" customHeight="1">
      <x:c r="A183" s="37"/>
      <x:c r="B183" s="6"/>
      <x:c r="C183" s="36"/>
      <x:c r="E183" s="36"/>
      <x:c r="F183" s="30"/>
      <x:c r="G183" s="30"/>
      <x:c r="H183" s="30"/>
      <x:c r="I183" s="30"/>
      <x:c r="J183" s="30"/>
      <x:c r="K183" s="30"/>
      <x:c r="L183" s="30"/>
    </x:row>
    <x:row r="184" ht="15.75" customHeight="1">
      <x:c r="A184" s="37"/>
      <x:c r="B184" s="6"/>
      <x:c r="C184" s="36"/>
      <x:c r="E184" s="36"/>
      <x:c r="F184" s="30"/>
      <x:c r="G184" s="30"/>
      <x:c r="H184" s="30"/>
      <x:c r="I184" s="30"/>
      <x:c r="J184" s="30"/>
      <x:c r="K184" s="30"/>
      <x:c r="L184" s="30"/>
    </x:row>
    <x:row r="185" ht="15.75" customHeight="1">
      <x:c r="A185" s="37"/>
      <x:c r="B185" s="6"/>
      <x:c r="C185" s="36"/>
      <x:c r="E185" s="36"/>
      <x:c r="F185" s="30"/>
      <x:c r="G185" s="30"/>
      <x:c r="H185" s="30"/>
      <x:c r="I185" s="30"/>
      <x:c r="J185" s="30"/>
      <x:c r="K185" s="30"/>
      <x:c r="L185" s="30"/>
    </x:row>
    <x:row r="186" ht="15.75" customHeight="1">
      <x:c r="A186" s="37"/>
      <x:c r="B186" s="6"/>
      <x:c r="C186" s="36"/>
      <x:c r="E186" s="36"/>
      <x:c r="F186" s="30"/>
      <x:c r="G186" s="30"/>
      <x:c r="H186" s="30"/>
      <x:c r="I186" s="30"/>
      <x:c r="J186" s="30"/>
      <x:c r="K186" s="30"/>
      <x:c r="L186" s="30"/>
    </x:row>
    <x:row r="187" ht="15.75" customHeight="1">
      <x:c r="A187" s="37"/>
      <x:c r="B187" s="6"/>
      <x:c r="C187" s="36"/>
      <x:c r="E187" s="36"/>
      <x:c r="F187" s="30"/>
      <x:c r="G187" s="30"/>
      <x:c r="H187" s="30"/>
      <x:c r="I187" s="30"/>
      <x:c r="J187" s="30"/>
      <x:c r="K187" s="30"/>
      <x:c r="L187" s="30"/>
    </x:row>
    <x:row r="188" ht="15.75" customHeight="1">
      <x:c r="A188" s="37"/>
      <x:c r="B188" s="6"/>
      <x:c r="C188" s="36"/>
      <x:c r="E188" s="36"/>
      <x:c r="F188" s="30"/>
      <x:c r="G188" s="30"/>
      <x:c r="H188" s="30"/>
      <x:c r="I188" s="30"/>
      <x:c r="J188" s="30"/>
      <x:c r="K188" s="30"/>
      <x:c r="L188" s="30"/>
    </x:row>
    <x:row r="189" ht="15.75" customHeight="1">
      <x:c r="A189" s="37"/>
      <x:c r="B189" s="6"/>
      <x:c r="C189" s="36"/>
      <x:c r="E189" s="36"/>
      <x:c r="F189" s="30"/>
      <x:c r="G189" s="30"/>
      <x:c r="H189" s="30"/>
      <x:c r="I189" s="30"/>
      <x:c r="J189" s="30"/>
      <x:c r="K189" s="30"/>
      <x:c r="L189" s="30"/>
    </x:row>
    <x:row r="190" ht="15.75" customHeight="1">
      <x:c r="A190" s="37"/>
      <x:c r="B190" s="6"/>
      <x:c r="C190" s="36"/>
      <x:c r="E190" s="36"/>
      <x:c r="F190" s="30"/>
      <x:c r="G190" s="30"/>
      <x:c r="H190" s="30"/>
      <x:c r="I190" s="30"/>
      <x:c r="J190" s="30"/>
      <x:c r="K190" s="30"/>
      <x:c r="L190" s="30"/>
    </x:row>
    <x:row r="191" ht="15.75" customHeight="1">
      <x:c r="A191" s="37"/>
      <x:c r="B191" s="6"/>
      <x:c r="C191" s="36"/>
      <x:c r="E191" s="36"/>
      <x:c r="F191" s="30"/>
      <x:c r="G191" s="30"/>
      <x:c r="H191" s="30"/>
      <x:c r="I191" s="30"/>
      <x:c r="J191" s="30"/>
      <x:c r="K191" s="30"/>
      <x:c r="L191" s="30"/>
    </x:row>
    <x:row r="192" ht="15.75" customHeight="1">
      <x:c r="A192" s="37"/>
      <x:c r="B192" s="6"/>
      <x:c r="C192" s="36"/>
      <x:c r="E192" s="36"/>
      <x:c r="F192" s="30"/>
      <x:c r="G192" s="30"/>
      <x:c r="H192" s="30"/>
      <x:c r="I192" s="30"/>
      <x:c r="J192" s="30"/>
      <x:c r="K192" s="30"/>
      <x:c r="L192" s="30"/>
    </x:row>
    <x:row r="193" ht="15.75" customHeight="1">
      <x:c r="A193" s="37"/>
      <x:c r="B193" s="6"/>
      <x:c r="C193" s="36"/>
      <x:c r="E193" s="36"/>
      <x:c r="F193" s="30"/>
      <x:c r="G193" s="30"/>
      <x:c r="H193" s="30"/>
      <x:c r="I193" s="30"/>
      <x:c r="J193" s="30"/>
      <x:c r="K193" s="30"/>
      <x:c r="L193" s="30"/>
    </x:row>
    <x:row r="194" ht="15.75" customHeight="1">
      <x:c r="A194" s="37"/>
      <x:c r="B194" s="6"/>
      <x:c r="C194" s="36"/>
      <x:c r="E194" s="36"/>
      <x:c r="F194" s="30"/>
      <x:c r="G194" s="30"/>
      <x:c r="H194" s="30"/>
      <x:c r="I194" s="30"/>
      <x:c r="J194" s="30"/>
      <x:c r="K194" s="30"/>
      <x:c r="L194" s="30"/>
    </x:row>
    <x:row r="195" ht="15.75" customHeight="1">
      <x:c r="A195" s="37"/>
      <x:c r="B195" s="6"/>
      <x:c r="C195" s="36"/>
      <x:c r="E195" s="36"/>
      <x:c r="F195" s="30"/>
      <x:c r="G195" s="30"/>
      <x:c r="H195" s="30"/>
      <x:c r="I195" s="30"/>
      <x:c r="J195" s="30"/>
      <x:c r="K195" s="30"/>
      <x:c r="L195" s="30"/>
    </x:row>
    <x:row r="196" ht="15.75" customHeight="1">
      <x:c r="A196" s="37"/>
      <x:c r="B196" s="6"/>
      <x:c r="C196" s="36"/>
      <x:c r="E196" s="36"/>
      <x:c r="F196" s="30"/>
      <x:c r="G196" s="30"/>
      <x:c r="H196" s="30"/>
      <x:c r="I196" s="30"/>
      <x:c r="J196" s="30"/>
      <x:c r="K196" s="30"/>
      <x:c r="L196" s="30"/>
    </x:row>
    <x:row r="197" ht="15.75" customHeight="1">
      <x:c r="A197" s="37"/>
      <x:c r="B197" s="6"/>
      <x:c r="C197" s="36"/>
      <x:c r="E197" s="36"/>
      <x:c r="F197" s="30"/>
      <x:c r="G197" s="30"/>
      <x:c r="H197" s="30"/>
      <x:c r="I197" s="30"/>
      <x:c r="J197" s="30"/>
      <x:c r="K197" s="30"/>
      <x:c r="L197" s="30"/>
    </x:row>
    <x:row r="198" ht="15.75" customHeight="1">
      <x:c r="A198" s="37"/>
      <x:c r="B198" s="6"/>
      <x:c r="C198" s="36"/>
      <x:c r="E198" s="36"/>
      <x:c r="F198" s="30"/>
      <x:c r="G198" s="30"/>
      <x:c r="H198" s="30"/>
      <x:c r="I198" s="30"/>
      <x:c r="J198" s="30"/>
      <x:c r="K198" s="30"/>
      <x:c r="L198" s="30"/>
    </x:row>
    <x:row r="199" ht="15.75" customHeight="1">
      <x:c r="A199" s="37"/>
      <x:c r="B199" s="6"/>
      <x:c r="C199" s="36"/>
      <x:c r="E199" s="36"/>
      <x:c r="F199" s="30"/>
      <x:c r="G199" s="30"/>
      <x:c r="H199" s="30"/>
      <x:c r="I199" s="30"/>
      <x:c r="J199" s="30"/>
      <x:c r="K199" s="30"/>
      <x:c r="L199" s="30"/>
    </x:row>
    <x:row r="200" ht="15.75" customHeight="1">
      <x:c r="A200" s="37"/>
      <x:c r="B200" s="6"/>
      <x:c r="C200" s="36"/>
      <x:c r="E200" s="36"/>
      <x:c r="F200" s="30"/>
      <x:c r="G200" s="30"/>
      <x:c r="H200" s="30"/>
      <x:c r="I200" s="30"/>
      <x:c r="J200" s="30"/>
      <x:c r="K200" s="30"/>
      <x:c r="L200" s="30"/>
    </x:row>
    <x:row r="201" ht="15.75" customHeight="1">
      <x:c r="A201" s="37"/>
      <x:c r="B201" s="6"/>
      <x:c r="F201" s="30"/>
      <x:c r="G201" s="30"/>
      <x:c r="H201" s="30"/>
      <x:c r="I201" s="30"/>
      <x:c r="J201" s="30"/>
      <x:c r="K201" s="30"/>
      <x:c r="L201" s="30"/>
    </x:row>
    <x:row r="202" ht="15.75" customHeight="1">
      <x:c r="A202" s="37"/>
      <x:c r="B202" s="6"/>
      <x:c r="F202" s="30"/>
      <x:c r="G202" s="30"/>
      <x:c r="H202" s="30"/>
      <x:c r="I202" s="30"/>
      <x:c r="J202" s="30"/>
      <x:c r="K202" s="30"/>
      <x:c r="L202" s="30"/>
    </x:row>
    <x:row r="203" ht="15.75" customHeight="1">
      <x:c r="A203" s="37"/>
      <x:c r="B203" s="6"/>
      <x:c r="F203" s="30"/>
      <x:c r="G203" s="30"/>
      <x:c r="H203" s="30"/>
      <x:c r="I203" s="30"/>
      <x:c r="J203" s="30"/>
      <x:c r="K203" s="30"/>
      <x:c r="L203" s="30"/>
    </x:row>
    <x:row r="204" ht="15.75" customHeight="1">
      <x:c r="A204" s="37"/>
      <x:c r="B204" s="6"/>
      <x:c r="F204" s="30"/>
      <x:c r="G204" s="30"/>
      <x:c r="H204" s="30"/>
      <x:c r="I204" s="30"/>
      <x:c r="J204" s="30"/>
      <x:c r="K204" s="30"/>
      <x:c r="L204" s="30"/>
    </x:row>
    <x:row r="205" ht="15.75" customHeight="1">
      <x:c r="A205" s="37"/>
      <x:c r="B205" s="6"/>
      <x:c r="F205" s="30"/>
      <x:c r="G205" s="30"/>
      <x:c r="H205" s="30"/>
      <x:c r="I205" s="30"/>
      <x:c r="J205" s="30"/>
      <x:c r="K205" s="30"/>
      <x:c r="L205" s="30"/>
    </x:row>
    <x:row r="206" ht="15.75" customHeight="1">
      <x:c r="A206" s="37"/>
      <x:c r="B206" s="6"/>
      <x:c r="F206" s="30"/>
      <x:c r="G206" s="30"/>
      <x:c r="H206" s="30"/>
      <x:c r="I206" s="30"/>
      <x:c r="J206" s="30"/>
      <x:c r="K206" s="30"/>
      <x:c r="L206" s="30"/>
    </x:row>
    <x:row r="207" ht="15.75" customHeight="1">
      <x:c r="A207" s="37"/>
      <x:c r="B207" s="6"/>
      <x:c r="F207" s="30"/>
      <x:c r="G207" s="30"/>
      <x:c r="H207" s="30"/>
      <x:c r="I207" s="30"/>
      <x:c r="J207" s="30"/>
      <x:c r="K207" s="30"/>
      <x:c r="L207" s="30"/>
    </x:row>
    <x:row r="208" ht="15.75" customHeight="1">
      <x:c r="A208" s="37"/>
      <x:c r="B208" s="6"/>
      <x:c r="F208" s="30"/>
      <x:c r="G208" s="30"/>
      <x:c r="H208" s="30"/>
      <x:c r="I208" s="30"/>
      <x:c r="J208" s="30"/>
      <x:c r="K208" s="30"/>
      <x:c r="L208" s="30"/>
    </x:row>
    <x:row r="209" ht="15.75" customHeight="1">
      <x:c r="A209" s="37"/>
      <x:c r="B209" s="6"/>
      <x:c r="F209" s="30"/>
      <x:c r="G209" s="30"/>
      <x:c r="H209" s="30"/>
      <x:c r="I209" s="30"/>
      <x:c r="J209" s="30"/>
      <x:c r="K209" s="30"/>
      <x:c r="L209" s="30"/>
    </x:row>
    <x:row r="210" ht="15.75" customHeight="1">
      <x:c r="A210" s="37"/>
      <x:c r="B210" s="6"/>
      <x:c r="F210" s="30"/>
      <x:c r="G210" s="30"/>
      <x:c r="H210" s="30"/>
      <x:c r="I210" s="30"/>
      <x:c r="J210" s="30"/>
      <x:c r="K210" s="30"/>
      <x:c r="L210" s="30"/>
    </x:row>
    <x:row r="211" ht="15.75" customHeight="1">
      <x:c r="A211" s="37"/>
      <x:c r="B211" s="6"/>
      <x:c r="F211" s="30"/>
      <x:c r="G211" s="30"/>
      <x:c r="H211" s="30"/>
      <x:c r="I211" s="30"/>
      <x:c r="J211" s="30"/>
      <x:c r="K211" s="30"/>
      <x:c r="L211" s="30"/>
    </x:row>
    <x:row r="212" ht="15.75" customHeight="1">
      <x:c r="A212" s="37"/>
      <x:c r="B212" s="6"/>
      <x:c r="F212" s="30"/>
      <x:c r="G212" s="30"/>
      <x:c r="H212" s="30"/>
      <x:c r="I212" s="30"/>
      <x:c r="J212" s="30"/>
      <x:c r="K212" s="30"/>
      <x:c r="L212" s="30"/>
    </x:row>
    <x:row r="213" ht="15.75" customHeight="1">
      <x:c r="A213" s="37"/>
      <x:c r="B213" s="6"/>
      <x:c r="F213" s="30"/>
      <x:c r="G213" s="30"/>
      <x:c r="H213" s="30"/>
      <x:c r="I213" s="30"/>
      <x:c r="J213" s="30"/>
      <x:c r="K213" s="30"/>
      <x:c r="L213" s="30"/>
    </x:row>
    <x:row r="214" ht="15.75" customHeight="1">
      <x:c r="A214" s="37"/>
      <x:c r="B214" s="6"/>
      <x:c r="F214" s="30"/>
      <x:c r="G214" s="30"/>
      <x:c r="H214" s="30"/>
      <x:c r="I214" s="30"/>
      <x:c r="J214" s="30"/>
      <x:c r="K214" s="30"/>
      <x:c r="L214" s="30"/>
    </x:row>
    <x:row r="215" ht="15.75" customHeight="1">
      <x:c r="A215" s="37"/>
      <x:c r="B215" s="6"/>
      <x:c r="F215" s="30"/>
      <x:c r="G215" s="30"/>
      <x:c r="H215" s="30"/>
      <x:c r="I215" s="30"/>
      <x:c r="J215" s="30"/>
      <x:c r="K215" s="30"/>
      <x:c r="L215" s="30"/>
    </x:row>
    <x:row r="216" ht="15.75" customHeight="1">
      <x:c r="A216" s="37"/>
      <x:c r="B216" s="6"/>
      <x:c r="F216" s="30"/>
      <x:c r="G216" s="30"/>
      <x:c r="H216" s="30"/>
      <x:c r="I216" s="30"/>
      <x:c r="J216" s="30"/>
      <x:c r="K216" s="30"/>
      <x:c r="L216" s="30"/>
    </x:row>
    <x:row r="217" ht="15.75" customHeight="1">
      <x:c r="A217" s="37"/>
      <x:c r="B217" s="6"/>
      <x:c r="F217" s="30"/>
      <x:c r="G217" s="30"/>
      <x:c r="H217" s="30"/>
      <x:c r="I217" s="30"/>
      <x:c r="J217" s="30"/>
      <x:c r="K217" s="30"/>
      <x:c r="L217" s="30"/>
    </x:row>
    <x:row r="218" ht="15.75" customHeight="1">
      <x:c r="A218" s="37"/>
      <x:c r="B218" s="6"/>
      <x:c r="F218" s="30"/>
      <x:c r="G218" s="30"/>
      <x:c r="H218" s="30"/>
      <x:c r="I218" s="30"/>
      <x:c r="J218" s="30"/>
      <x:c r="K218" s="30"/>
      <x:c r="L218" s="30"/>
    </x:row>
    <x:row r="219" ht="15.75" customHeight="1">
      <x:c r="A219" s="37"/>
      <x:c r="B219" s="6"/>
      <x:c r="F219" s="30"/>
      <x:c r="G219" s="30"/>
      <x:c r="H219" s="30"/>
      <x:c r="I219" s="30"/>
      <x:c r="J219" s="30"/>
      <x:c r="K219" s="30"/>
      <x:c r="L219" s="30"/>
    </x:row>
    <x:row r="220" ht="15.75" customHeight="1">
      <x:c r="A220" s="37"/>
      <x:c r="B220" s="6"/>
      <x:c r="F220" s="30"/>
      <x:c r="G220" s="30"/>
      <x:c r="H220" s="30"/>
      <x:c r="I220" s="30"/>
      <x:c r="J220" s="30"/>
      <x:c r="K220" s="30"/>
      <x:c r="L220" s="30"/>
    </x:row>
    <x:row r="221" ht="15.75" customHeight="1">
      <x:c r="A221" s="37"/>
      <x:c r="B221" s="6"/>
      <x:c r="F221" s="30"/>
      <x:c r="G221" s="30"/>
      <x:c r="H221" s="30"/>
      <x:c r="I221" s="30"/>
      <x:c r="J221" s="30"/>
      <x:c r="K221" s="30"/>
      <x:c r="L221" s="30"/>
    </x:row>
    <x:row r="222" ht="15.75" customHeight="1">
      <x:c r="A222" s="37"/>
      <x:c r="B222" s="6"/>
      <x:c r="F222" s="30"/>
      <x:c r="G222" s="30"/>
      <x:c r="H222" s="30"/>
      <x:c r="I222" s="30"/>
      <x:c r="J222" s="30"/>
      <x:c r="K222" s="30"/>
      <x:c r="L222" s="30"/>
    </x:row>
    <x:row r="223" ht="15.75" customHeight="1">
      <x:c r="A223" s="37"/>
      <x:c r="B223" s="6"/>
      <x:c r="F223" s="30"/>
      <x:c r="G223" s="30"/>
      <x:c r="H223" s="30"/>
      <x:c r="I223" s="30"/>
      <x:c r="J223" s="30"/>
      <x:c r="K223" s="30"/>
      <x:c r="L223" s="30"/>
    </x:row>
    <x:row r="224" ht="15.75" customHeight="1">
      <x:c r="A224" s="37"/>
      <x:c r="B224" s="6"/>
      <x:c r="F224" s="30"/>
      <x:c r="G224" s="30"/>
      <x:c r="H224" s="30"/>
      <x:c r="I224" s="30"/>
      <x:c r="J224" s="30"/>
      <x:c r="K224" s="30"/>
      <x:c r="L224" s="30"/>
    </x:row>
    <x:row r="225" ht="15.75" customHeight="1">
      <x:c r="A225" s="37"/>
      <x:c r="B225" s="6"/>
      <x:c r="F225" s="30"/>
      <x:c r="G225" s="30"/>
      <x:c r="H225" s="30"/>
      <x:c r="I225" s="30"/>
      <x:c r="J225" s="30"/>
      <x:c r="K225" s="30"/>
      <x:c r="L225" s="30"/>
    </x:row>
    <x:row r="226" ht="15.75" customHeight="1">
      <x:c r="A226" s="37"/>
      <x:c r="B226" s="6"/>
      <x:c r="F226" s="30"/>
      <x:c r="G226" s="30"/>
      <x:c r="H226" s="30"/>
      <x:c r="I226" s="30"/>
      <x:c r="J226" s="30"/>
      <x:c r="K226" s="30"/>
      <x:c r="L226" s="30"/>
    </x:row>
    <x:row r="227" ht="15.75" customHeight="1">
      <x:c r="A227" s="37"/>
      <x:c r="B227" s="6"/>
      <x:c r="F227" s="30"/>
      <x:c r="G227" s="30"/>
      <x:c r="H227" s="30"/>
      <x:c r="I227" s="30"/>
      <x:c r="J227" s="30"/>
      <x:c r="K227" s="30"/>
      <x:c r="L227" s="30"/>
    </x:row>
    <x:row r="228" ht="15.75" customHeight="1">
      <x:c r="A228" s="42"/>
      <x:c r="B228" s="6"/>
      <x:c r="F228" s="30"/>
      <x:c r="G228" s="30"/>
      <x:c r="H228" s="30"/>
      <x:c r="I228" s="30"/>
      <x:c r="J228" s="30"/>
      <x:c r="K228" s="30"/>
      <x:c r="L228" s="30"/>
    </x:row>
    <x:row r="229" ht="15.75" customHeight="1">
      <x:c r="A229" s="42"/>
      <x:c r="B229" s="6"/>
      <x:c r="F229" s="30"/>
      <x:c r="G229" s="30"/>
      <x:c r="H229" s="30"/>
      <x:c r="I229" s="30"/>
      <x:c r="J229" s="30"/>
      <x:c r="K229" s="30"/>
      <x:c r="L229" s="30"/>
    </x:row>
    <x:row r="230" ht="15.75" customHeight="1">
      <x:c r="A230" s="42"/>
      <x:c r="B230" s="6"/>
      <x:c r="F230" s="30"/>
      <x:c r="G230" s="30"/>
      <x:c r="H230" s="30"/>
      <x:c r="I230" s="30"/>
      <x:c r="J230" s="30"/>
      <x:c r="K230" s="30"/>
      <x:c r="L230" s="30"/>
    </x:row>
    <x:row r="231" ht="15.75" customHeight="1">
      <x:c r="A231" s="42"/>
      <x:c r="B231" s="6"/>
      <x:c r="F231" s="30"/>
      <x:c r="G231" s="30"/>
      <x:c r="H231" s="30"/>
      <x:c r="I231" s="30"/>
      <x:c r="J231" s="30"/>
      <x:c r="K231" s="30"/>
      <x:c r="L231" s="30"/>
    </x:row>
    <x:row r="232" ht="15.75" customHeight="1">
      <x:c r="A232" s="42"/>
      <x:c r="B232" s="6"/>
      <x:c r="F232" s="30"/>
      <x:c r="G232" s="30"/>
      <x:c r="H232" s="30"/>
      <x:c r="I232" s="30"/>
      <x:c r="J232" s="30"/>
      <x:c r="K232" s="30"/>
      <x:c r="L232" s="30"/>
    </x:row>
    <x:row r="233" ht="15.75" customHeight="1">
      <x:c r="A233" s="42"/>
      <x:c r="B233" s="6"/>
      <x:c r="F233" s="30"/>
      <x:c r="G233" s="30"/>
      <x:c r="H233" s="30"/>
      <x:c r="I233" s="30"/>
      <x:c r="J233" s="30"/>
      <x:c r="K233" s="30"/>
      <x:c r="L233" s="30"/>
    </x:row>
    <x:row r="234" ht="15.75" customHeight="1">
      <x:c r="A234" s="42"/>
      <x:c r="B234" s="6"/>
      <x:c r="F234" s="30"/>
      <x:c r="G234" s="30"/>
      <x:c r="H234" s="30"/>
      <x:c r="I234" s="30"/>
      <x:c r="J234" s="30"/>
      <x:c r="K234" s="30"/>
      <x:c r="L234" s="30"/>
    </x:row>
    <x:row r="235" ht="15.75" customHeight="1">
      <x:c r="A235" s="42"/>
      <x:c r="B235" s="6"/>
      <x:c r="F235" s="30"/>
      <x:c r="G235" s="30"/>
      <x:c r="H235" s="30"/>
      <x:c r="I235" s="30"/>
      <x:c r="J235" s="30"/>
      <x:c r="K235" s="30"/>
      <x:c r="L235" s="30"/>
    </x:row>
    <x:row r="236" ht="15.75" customHeight="1">
      <x:c r="A236" s="42"/>
      <x:c r="B236" s="6"/>
      <x:c r="F236" s="30"/>
      <x:c r="G236" s="30"/>
      <x:c r="H236" s="30"/>
      <x:c r="I236" s="30"/>
      <x:c r="J236" s="30"/>
      <x:c r="K236" s="30"/>
      <x:c r="L236" s="30"/>
    </x:row>
    <x:row r="237" ht="15.75" customHeight="1">
      <x:c r="A237" s="42"/>
      <x:c r="B237" s="6"/>
      <x:c r="F237" s="30"/>
      <x:c r="G237" s="30"/>
      <x:c r="H237" s="30"/>
      <x:c r="I237" s="30"/>
      <x:c r="J237" s="30"/>
      <x:c r="K237" s="30"/>
      <x:c r="L237" s="30"/>
    </x:row>
    <x:row r="238" ht="15.75" customHeight="1">
      <x:c r="A238" s="42"/>
      <x:c r="B238" s="6"/>
      <x:c r="F238" s="30"/>
      <x:c r="G238" s="30"/>
      <x:c r="H238" s="30"/>
      <x:c r="I238" s="30"/>
      <x:c r="J238" s="30"/>
      <x:c r="K238" s="30"/>
      <x:c r="L238" s="30"/>
    </x:row>
    <x:row r="239" ht="15.75" customHeight="1">
      <x:c r="A239" s="42"/>
      <x:c r="B239" s="6"/>
      <x:c r="F239" s="30"/>
      <x:c r="G239" s="30"/>
      <x:c r="H239" s="30"/>
      <x:c r="I239" s="30"/>
      <x:c r="J239" s="30"/>
      <x:c r="K239" s="30"/>
      <x:c r="L239" s="30"/>
    </x:row>
    <x:row r="240" ht="15.75" customHeight="1">
      <x:c r="A240" s="42"/>
      <x:c r="B240" s="6"/>
      <x:c r="F240" s="30"/>
      <x:c r="G240" s="30"/>
      <x:c r="H240" s="30"/>
      <x:c r="I240" s="30"/>
      <x:c r="J240" s="30"/>
      <x:c r="K240" s="30"/>
      <x:c r="L240" s="30"/>
    </x:row>
    <x:row r="241" ht="15.75" customHeight="1">
      <x:c r="A241" s="42"/>
      <x:c r="B241" s="6"/>
      <x:c r="F241" s="30"/>
      <x:c r="G241" s="30"/>
      <x:c r="H241" s="30"/>
      <x:c r="I241" s="30"/>
      <x:c r="J241" s="30"/>
      <x:c r="K241" s="30"/>
      <x:c r="L241" s="30"/>
    </x:row>
    <x:row r="242" ht="15.75" customHeight="1">
      <x:c r="A242" s="42"/>
      <x:c r="B242" s="6"/>
      <x:c r="F242" s="30"/>
      <x:c r="G242" s="30"/>
      <x:c r="H242" s="30"/>
      <x:c r="I242" s="30"/>
      <x:c r="J242" s="30"/>
      <x:c r="K242" s="30"/>
      <x:c r="L242" s="30"/>
    </x:row>
    <x:row r="243" ht="15.75" customHeight="1">
      <x:c r="A243" s="42"/>
      <x:c r="B243" s="6"/>
      <x:c r="F243" s="30"/>
      <x:c r="G243" s="30"/>
      <x:c r="H243" s="30"/>
      <x:c r="I243" s="30"/>
      <x:c r="J243" s="30"/>
      <x:c r="K243" s="30"/>
      <x:c r="L243" s="30"/>
    </x:row>
    <x:row r="244" ht="15.75" customHeight="1">
      <x:c r="A244" s="42"/>
      <x:c r="B244" s="6"/>
      <x:c r="F244" s="30"/>
      <x:c r="G244" s="30"/>
      <x:c r="H244" s="30"/>
      <x:c r="I244" s="30"/>
      <x:c r="J244" s="30"/>
      <x:c r="K244" s="30"/>
      <x:c r="L244" s="30"/>
    </x:row>
    <x:row r="245" ht="15.75" customHeight="1">
      <x:c r="A245" s="42"/>
      <x:c r="B245" s="6"/>
      <x:c r="F245" s="30"/>
      <x:c r="G245" s="30"/>
      <x:c r="H245" s="30"/>
      <x:c r="I245" s="30"/>
      <x:c r="J245" s="30"/>
      <x:c r="K245" s="30"/>
      <x:c r="L245" s="30"/>
    </x:row>
    <x:row r="246" ht="15.75" customHeight="1">
      <x:c r="A246" s="42"/>
      <x:c r="B246" s="6"/>
      <x:c r="F246" s="30"/>
      <x:c r="G246" s="30"/>
      <x:c r="H246" s="30"/>
      <x:c r="I246" s="30"/>
      <x:c r="J246" s="30"/>
      <x:c r="K246" s="30"/>
      <x:c r="L246" s="30"/>
    </x:row>
    <x:row r="247" ht="15.75" customHeight="1">
      <x:c r="A247" s="42"/>
      <x:c r="B247" s="6"/>
      <x:c r="F247" s="30"/>
      <x:c r="G247" s="30"/>
      <x:c r="H247" s="30"/>
      <x:c r="I247" s="30"/>
      <x:c r="J247" s="30"/>
      <x:c r="K247" s="30"/>
      <x:c r="L247" s="30"/>
    </x:row>
    <x:row r="248" ht="15.75" customHeight="1">
      <x:c r="A248" s="42"/>
      <x:c r="B248" s="6"/>
      <x:c r="F248" s="30"/>
      <x:c r="G248" s="30"/>
      <x:c r="H248" s="30"/>
      <x:c r="I248" s="30"/>
      <x:c r="J248" s="30"/>
      <x:c r="K248" s="30"/>
      <x:c r="L248" s="30"/>
    </x:row>
    <x:row r="249" ht="15.75" customHeight="1">
      <x:c r="A249" s="42"/>
      <x:c r="B249" s="6"/>
      <x:c r="F249" s="30"/>
      <x:c r="G249" s="30"/>
      <x:c r="H249" s="30"/>
      <x:c r="I249" s="30"/>
      <x:c r="J249" s="30"/>
      <x:c r="K249" s="30"/>
      <x:c r="L249" s="30"/>
    </x:row>
    <x:row r="250" ht="15.75" customHeight="1">
      <x:c r="A250" s="42"/>
      <x:c r="B250" s="6"/>
      <x:c r="F250" s="30"/>
      <x:c r="G250" s="30"/>
      <x:c r="H250" s="30"/>
      <x:c r="I250" s="30"/>
      <x:c r="J250" s="30"/>
      <x:c r="K250" s="30"/>
      <x:c r="L250" s="30"/>
    </x:row>
    <x:row r="251" ht="15.75" customHeight="1">
      <x:c r="A251" s="42"/>
      <x:c r="B251" s="6"/>
      <x:c r="F251" s="30"/>
      <x:c r="G251" s="30"/>
      <x:c r="H251" s="30"/>
      <x:c r="I251" s="30"/>
      <x:c r="J251" s="30"/>
      <x:c r="K251" s="30"/>
      <x:c r="L251" s="30"/>
    </x:row>
    <x:row r="252" ht="15.75" customHeight="1">
      <x:c r="A252" s="42"/>
      <x:c r="B252" s="6"/>
      <x:c r="F252" s="30"/>
      <x:c r="G252" s="30"/>
      <x:c r="H252" s="30"/>
      <x:c r="I252" s="30"/>
      <x:c r="J252" s="30"/>
      <x:c r="K252" s="30"/>
      <x:c r="L252" s="30"/>
    </x:row>
    <x:row r="253" ht="15.75" customHeight="1">
      <x:c r="A253" s="42"/>
      <x:c r="B253" s="6"/>
      <x:c r="F253" s="30"/>
      <x:c r="G253" s="30"/>
      <x:c r="H253" s="30"/>
      <x:c r="I253" s="30"/>
      <x:c r="J253" s="30"/>
      <x:c r="K253" s="30"/>
      <x:c r="L253" s="30"/>
    </x:row>
    <x:row r="254" ht="15.75" customHeight="1">
      <x:c r="A254" s="42"/>
      <x:c r="B254" s="6"/>
      <x:c r="F254" s="30"/>
      <x:c r="G254" s="30"/>
      <x:c r="H254" s="30"/>
      <x:c r="I254" s="30"/>
      <x:c r="J254" s="30"/>
      <x:c r="K254" s="30"/>
      <x:c r="L254" s="30"/>
    </x:row>
    <x:row r="255" ht="15.75" customHeight="1">
      <x:c r="A255" s="42"/>
      <x:c r="B255" s="6"/>
      <x:c r="F255" s="30"/>
      <x:c r="G255" s="30"/>
      <x:c r="H255" s="30"/>
      <x:c r="I255" s="30"/>
      <x:c r="J255" s="30"/>
      <x:c r="K255" s="30"/>
      <x:c r="L255" s="30"/>
    </x:row>
    <x:row r="256" ht="15.75" customHeight="1">
      <x:c r="A256" s="42"/>
      <x:c r="B256" s="6"/>
      <x:c r="F256" s="30"/>
      <x:c r="G256" s="30"/>
      <x:c r="H256" s="30"/>
      <x:c r="I256" s="30"/>
      <x:c r="J256" s="30"/>
      <x:c r="K256" s="30"/>
      <x:c r="L256" s="30"/>
    </x:row>
    <x:row r="257" ht="15.75" customHeight="1">
      <x:c r="A257" s="42"/>
      <x:c r="B257" s="6"/>
      <x:c r="F257" s="30"/>
      <x:c r="G257" s="30"/>
      <x:c r="H257" s="30"/>
      <x:c r="I257" s="30"/>
      <x:c r="J257" s="30"/>
      <x:c r="K257" s="30"/>
      <x:c r="L257" s="30"/>
    </x:row>
    <x:row r="258" ht="15.75" customHeight="1">
      <x:c r="A258" s="42"/>
      <x:c r="B258" s="6"/>
      <x:c r="F258" s="30"/>
      <x:c r="G258" s="30"/>
      <x:c r="H258" s="30"/>
      <x:c r="I258" s="30"/>
      <x:c r="J258" s="30"/>
      <x:c r="K258" s="30"/>
      <x:c r="L258" s="30"/>
    </x:row>
    <x:row r="259" ht="15.75" customHeight="1">
      <x:c r="A259" s="42"/>
      <x:c r="B259" s="6"/>
      <x:c r="F259" s="30"/>
      <x:c r="G259" s="30"/>
      <x:c r="H259" s="30"/>
      <x:c r="I259" s="30"/>
      <x:c r="J259" s="30"/>
      <x:c r="K259" s="30"/>
      <x:c r="L259" s="30"/>
    </x:row>
    <x:row r="260" ht="15.75" customHeight="1">
      <x:c r="A260" s="42"/>
      <x:c r="B260" s="6"/>
      <x:c r="F260" s="30"/>
      <x:c r="G260" s="30"/>
      <x:c r="H260" s="30"/>
      <x:c r="I260" s="30"/>
      <x:c r="J260" s="30"/>
      <x:c r="K260" s="30"/>
      <x:c r="L260" s="30"/>
    </x:row>
    <x:row r="261" ht="15.75" customHeight="1">
      <x:c r="A261" s="42"/>
      <x:c r="B261" s="6"/>
      <x:c r="F261" s="30"/>
      <x:c r="G261" s="30"/>
      <x:c r="H261" s="30"/>
      <x:c r="I261" s="30"/>
      <x:c r="J261" s="30"/>
      <x:c r="K261" s="30"/>
      <x:c r="L261" s="30"/>
    </x:row>
    <x:row r="262" ht="15.75" customHeight="1">
      <x:c r="A262" s="42"/>
      <x:c r="B262" s="6"/>
      <x:c r="F262" s="30"/>
      <x:c r="G262" s="30"/>
      <x:c r="H262" s="30"/>
      <x:c r="I262" s="30"/>
      <x:c r="J262" s="30"/>
      <x:c r="K262" s="30"/>
      <x:c r="L262" s="30"/>
    </x:row>
    <x:row r="263" ht="15.75" customHeight="1">
      <x:c r="A263" s="42"/>
      <x:c r="B263" s="6"/>
      <x:c r="F263" s="30"/>
      <x:c r="G263" s="30"/>
      <x:c r="H263" s="30"/>
      <x:c r="I263" s="30"/>
      <x:c r="J263" s="30"/>
      <x:c r="K263" s="30"/>
      <x:c r="L263" s="30"/>
    </x:row>
    <x:row r="264" ht="15.75" customHeight="1">
      <x:c r="A264" s="42"/>
      <x:c r="B264" s="6"/>
      <x:c r="F264" s="30"/>
      <x:c r="G264" s="30"/>
      <x:c r="H264" s="30"/>
      <x:c r="I264" s="30"/>
      <x:c r="J264" s="30"/>
      <x:c r="K264" s="30"/>
      <x:c r="L264" s="30"/>
    </x:row>
    <x:row r="265" ht="15.75" customHeight="1">
      <x:c r="A265" s="42"/>
      <x:c r="B265" s="6"/>
      <x:c r="F265" s="30"/>
      <x:c r="G265" s="30"/>
      <x:c r="H265" s="30"/>
      <x:c r="I265" s="30"/>
      <x:c r="J265" s="30"/>
      <x:c r="K265" s="30"/>
      <x:c r="L265" s="30"/>
    </x:row>
    <x:row r="266" ht="15.75" customHeight="1">
      <x:c r="A266" s="42"/>
      <x:c r="B266" s="6"/>
      <x:c r="F266" s="30"/>
      <x:c r="G266" s="30"/>
      <x:c r="H266" s="30"/>
      <x:c r="I266" s="30"/>
      <x:c r="J266" s="30"/>
      <x:c r="K266" s="30"/>
      <x:c r="L266" s="30"/>
    </x:row>
    <x:row r="267" ht="15.75" customHeight="1">
      <x:c r="A267" s="42"/>
      <x:c r="B267" s="6"/>
      <x:c r="F267" s="30"/>
      <x:c r="G267" s="30"/>
      <x:c r="H267" s="30"/>
      <x:c r="I267" s="30"/>
      <x:c r="J267" s="30"/>
      <x:c r="K267" s="30"/>
      <x:c r="L267" s="30"/>
    </x:row>
    <x:row r="268" ht="15.75" customHeight="1">
      <x:c r="A268" s="42"/>
      <x:c r="B268" s="6"/>
      <x:c r="F268" s="30"/>
      <x:c r="G268" s="30"/>
      <x:c r="H268" s="30"/>
      <x:c r="I268" s="30"/>
      <x:c r="J268" s="30"/>
      <x:c r="K268" s="30"/>
      <x:c r="L268" s="30"/>
    </x:row>
    <x:row r="269" ht="15.75" customHeight="1">
      <x:c r="A269" s="42"/>
      <x:c r="B269" s="6"/>
      <x:c r="F269" s="30"/>
      <x:c r="G269" s="30"/>
      <x:c r="H269" s="30"/>
      <x:c r="I269" s="30"/>
      <x:c r="J269" s="30"/>
      <x:c r="K269" s="30"/>
      <x:c r="L269" s="30"/>
    </x:row>
    <x:row r="270" ht="15.75" customHeight="1">
      <x:c r="A270" s="42"/>
      <x:c r="B270" s="6"/>
      <x:c r="F270" s="30"/>
      <x:c r="G270" s="30"/>
      <x:c r="H270" s="30"/>
      <x:c r="I270" s="30"/>
      <x:c r="J270" s="30"/>
      <x:c r="K270" s="30"/>
      <x:c r="L270" s="30"/>
    </x:row>
    <x:row r="271" ht="15.75" customHeight="1">
      <x:c r="A271" s="42"/>
      <x:c r="B271" s="6"/>
      <x:c r="F271" s="30"/>
      <x:c r="G271" s="30"/>
      <x:c r="H271" s="30"/>
      <x:c r="I271" s="30"/>
      <x:c r="J271" s="30"/>
      <x:c r="K271" s="30"/>
      <x:c r="L271" s="30"/>
    </x:row>
    <x:row r="272" ht="15.75" customHeight="1">
      <x:c r="A272" s="42"/>
      <x:c r="B272" s="6"/>
      <x:c r="F272" s="30"/>
      <x:c r="G272" s="30"/>
      <x:c r="H272" s="30"/>
      <x:c r="I272" s="30"/>
      <x:c r="J272" s="30"/>
      <x:c r="K272" s="30"/>
      <x:c r="L272" s="30"/>
    </x:row>
    <x:row r="273" ht="15.75" customHeight="1">
      <x:c r="A273" s="42"/>
      <x:c r="B273" s="6"/>
      <x:c r="F273" s="30"/>
      <x:c r="G273" s="30"/>
      <x:c r="H273" s="30"/>
      <x:c r="I273" s="30"/>
      <x:c r="J273" s="30"/>
      <x:c r="K273" s="30"/>
      <x:c r="L273" s="30"/>
    </x:row>
    <x:row r="274" ht="15.75" customHeight="1">
      <x:c r="A274" s="42"/>
      <x:c r="B274" s="6"/>
      <x:c r="F274" s="30"/>
      <x:c r="G274" s="30"/>
      <x:c r="H274" s="30"/>
      <x:c r="I274" s="30"/>
      <x:c r="J274" s="30"/>
      <x:c r="K274" s="30"/>
      <x:c r="L274" s="30"/>
    </x:row>
    <x:row r="275" ht="15.75" customHeight="1">
      <x:c r="A275" s="42"/>
      <x:c r="B275" s="6"/>
      <x:c r="F275" s="30"/>
      <x:c r="G275" s="30"/>
      <x:c r="H275" s="30"/>
      <x:c r="I275" s="30"/>
      <x:c r="J275" s="30"/>
      <x:c r="K275" s="30"/>
      <x:c r="L275" s="30"/>
    </x:row>
    <x:row r="276" ht="15.75" customHeight="1">
      <x:c r="A276" s="42"/>
      <x:c r="B276" s="6"/>
      <x:c r="F276" s="30"/>
      <x:c r="G276" s="30"/>
      <x:c r="H276" s="30"/>
      <x:c r="I276" s="30"/>
      <x:c r="J276" s="30"/>
      <x:c r="K276" s="30"/>
      <x:c r="L276" s="30"/>
    </x:row>
    <x:row r="277" ht="15.75" customHeight="1">
      <x:c r="A277" s="42"/>
      <x:c r="B277" s="6"/>
      <x:c r="F277" s="30"/>
      <x:c r="G277" s="30"/>
      <x:c r="H277" s="30"/>
      <x:c r="I277" s="30"/>
      <x:c r="J277" s="30"/>
      <x:c r="K277" s="30"/>
      <x:c r="L277" s="30"/>
    </x:row>
    <x:row r="278" ht="15.75" customHeight="1">
      <x:c r="A278" s="42"/>
      <x:c r="B278" s="6"/>
      <x:c r="F278" s="30"/>
      <x:c r="G278" s="30"/>
      <x:c r="H278" s="30"/>
      <x:c r="I278" s="30"/>
      <x:c r="J278" s="30"/>
      <x:c r="K278" s="30"/>
      <x:c r="L278" s="30"/>
    </x:row>
    <x:row r="279" ht="15.75" customHeight="1">
      <x:c r="A279" s="42"/>
      <x:c r="B279" s="6"/>
      <x:c r="F279" s="30"/>
      <x:c r="G279" s="30"/>
      <x:c r="H279" s="30"/>
      <x:c r="I279" s="30"/>
      <x:c r="J279" s="30"/>
      <x:c r="K279" s="30"/>
      <x:c r="L279" s="30"/>
    </x:row>
    <x:row r="280" ht="15.75" customHeight="1">
      <x:c r="A280" s="42"/>
      <x:c r="B280" s="6"/>
      <x:c r="F280" s="30"/>
      <x:c r="G280" s="30"/>
      <x:c r="H280" s="30"/>
      <x:c r="I280" s="30"/>
      <x:c r="J280" s="30"/>
      <x:c r="K280" s="30"/>
      <x:c r="L280" s="30"/>
    </x:row>
    <x:row r="281" ht="15.75" customHeight="1">
      <x:c r="A281" s="42"/>
      <x:c r="B281" s="6"/>
      <x:c r="F281" s="30"/>
      <x:c r="G281" s="30"/>
      <x:c r="H281" s="30"/>
      <x:c r="I281" s="30"/>
      <x:c r="J281" s="30"/>
      <x:c r="K281" s="30"/>
      <x:c r="L281" s="30"/>
    </x:row>
    <x:row r="282" ht="15.75" customHeight="1">
      <x:c r="A282" s="42"/>
      <x:c r="B282" s="6"/>
      <x:c r="F282" s="30"/>
      <x:c r="G282" s="30"/>
      <x:c r="H282" s="30"/>
      <x:c r="I282" s="30"/>
      <x:c r="J282" s="30"/>
      <x:c r="K282" s="30"/>
      <x:c r="L282" s="30"/>
    </x:row>
    <x:row r="283" ht="15.75" customHeight="1">
      <x:c r="A283" s="42"/>
      <x:c r="B283" s="6"/>
      <x:c r="F283" s="30"/>
      <x:c r="G283" s="30"/>
      <x:c r="H283" s="30"/>
      <x:c r="I283" s="30"/>
      <x:c r="J283" s="30"/>
      <x:c r="K283" s="30"/>
      <x:c r="L283" s="30"/>
    </x:row>
    <x:row r="284" ht="15.75" customHeight="1">
      <x:c r="A284" s="42"/>
      <x:c r="B284" s="6"/>
      <x:c r="F284" s="30"/>
      <x:c r="G284" s="30"/>
      <x:c r="H284" s="30"/>
      <x:c r="I284" s="30"/>
      <x:c r="J284" s="30"/>
      <x:c r="K284" s="30"/>
      <x:c r="L284" s="30"/>
    </x:row>
    <x:row r="285" ht="15.75" customHeight="1">
      <x:c r="A285" s="42"/>
      <x:c r="B285" s="6"/>
      <x:c r="F285" s="30"/>
      <x:c r="G285" s="30"/>
      <x:c r="H285" s="30"/>
      <x:c r="I285" s="30"/>
      <x:c r="J285" s="30"/>
      <x:c r="K285" s="30"/>
      <x:c r="L285" s="30"/>
    </x:row>
    <x:row r="286" ht="15.75" customHeight="1">
      <x:c r="A286" s="42"/>
      <x:c r="B286" s="6"/>
      <x:c r="F286" s="30"/>
      <x:c r="G286" s="30"/>
      <x:c r="H286" s="30"/>
      <x:c r="I286" s="30"/>
      <x:c r="J286" s="30"/>
      <x:c r="K286" s="30"/>
      <x:c r="L286" s="30"/>
    </x:row>
    <x:row r="287" ht="15.75" customHeight="1">
      <x:c r="A287" s="42"/>
      <x:c r="B287" s="6"/>
      <x:c r="F287" s="30"/>
      <x:c r="G287" s="30"/>
      <x:c r="H287" s="30"/>
      <x:c r="I287" s="30"/>
      <x:c r="J287" s="30"/>
      <x:c r="K287" s="30"/>
      <x:c r="L287" s="30"/>
    </x:row>
    <x:row r="288" ht="15.75" customHeight="1">
      <x:c r="A288" s="42"/>
      <x:c r="B288" s="6"/>
      <x:c r="F288" s="30"/>
      <x:c r="G288" s="30"/>
      <x:c r="H288" s="30"/>
      <x:c r="I288" s="30"/>
      <x:c r="J288" s="30"/>
      <x:c r="K288" s="30"/>
      <x:c r="L288" s="30"/>
    </x:row>
    <x:row r="289" ht="15.75" customHeight="1">
      <x:c r="A289" s="42"/>
      <x:c r="B289" s="6"/>
      <x:c r="F289" s="30"/>
      <x:c r="G289" s="30"/>
      <x:c r="H289" s="30"/>
      <x:c r="I289" s="30"/>
      <x:c r="J289" s="30"/>
      <x:c r="K289" s="30"/>
      <x:c r="L289" s="30"/>
    </x:row>
    <x:row r="290" ht="15.75" customHeight="1">
      <x:c r="A290" s="42"/>
      <x:c r="B290" s="6"/>
      <x:c r="F290" s="30"/>
      <x:c r="G290" s="30"/>
      <x:c r="H290" s="30"/>
      <x:c r="I290" s="30"/>
      <x:c r="J290" s="30"/>
      <x:c r="K290" s="30"/>
      <x:c r="L290" s="30"/>
    </x:row>
    <x:row r="291" ht="15.75" customHeight="1">
      <x:c r="A291" s="42"/>
      <x:c r="B291" s="6"/>
      <x:c r="F291" s="30"/>
      <x:c r="G291" s="30"/>
      <x:c r="H291" s="30"/>
      <x:c r="I291" s="30"/>
      <x:c r="J291" s="30"/>
      <x:c r="K291" s="30"/>
      <x:c r="L291" s="30"/>
    </x:row>
    <x:row r="292" ht="15.75" customHeight="1">
      <x:c r="A292" s="42"/>
      <x:c r="B292" s="6"/>
      <x:c r="F292" s="30"/>
      <x:c r="G292" s="30"/>
      <x:c r="H292" s="30"/>
      <x:c r="I292" s="30"/>
      <x:c r="J292" s="30"/>
      <x:c r="K292" s="30"/>
      <x:c r="L292" s="30"/>
    </x:row>
    <x:row r="293" ht="15.75" customHeight="1">
      <x:c r="A293" s="42"/>
      <x:c r="B293" s="6"/>
      <x:c r="F293" s="30"/>
      <x:c r="G293" s="30"/>
      <x:c r="H293" s="30"/>
      <x:c r="I293" s="30"/>
      <x:c r="J293" s="30"/>
      <x:c r="K293" s="30"/>
      <x:c r="L293" s="30"/>
    </x:row>
    <x:row r="294" ht="15.75" customHeight="1">
      <x:c r="A294" s="42"/>
      <x:c r="B294" s="6"/>
      <x:c r="F294" s="30"/>
      <x:c r="G294" s="30"/>
      <x:c r="H294" s="30"/>
      <x:c r="I294" s="30"/>
      <x:c r="J294" s="30"/>
      <x:c r="K294" s="30"/>
      <x:c r="L294" s="30"/>
    </x:row>
    <x:row r="295" ht="15.75" customHeight="1">
      <x:c r="A295" s="42"/>
      <x:c r="B295" s="6"/>
      <x:c r="F295" s="30"/>
      <x:c r="G295" s="30"/>
      <x:c r="H295" s="30"/>
      <x:c r="I295" s="30"/>
      <x:c r="J295" s="30"/>
      <x:c r="K295" s="30"/>
      <x:c r="L295" s="30"/>
    </x:row>
    <x:row r="296" ht="15.75" customHeight="1">
      <x:c r="A296" s="42"/>
      <x:c r="B296" s="6"/>
      <x:c r="F296" s="30"/>
      <x:c r="G296" s="30"/>
      <x:c r="H296" s="30"/>
      <x:c r="I296" s="30"/>
      <x:c r="J296" s="30"/>
      <x:c r="K296" s="30"/>
      <x:c r="L296" s="30"/>
    </x:row>
    <x:row r="297" ht="15.75" customHeight="1">
      <x:c r="A297" s="42"/>
      <x:c r="B297" s="6"/>
      <x:c r="F297" s="30"/>
      <x:c r="G297" s="30"/>
      <x:c r="H297" s="30"/>
      <x:c r="I297" s="30"/>
      <x:c r="J297" s="30"/>
      <x:c r="K297" s="30"/>
      <x:c r="L297" s="30"/>
    </x:row>
    <x:row r="298" ht="15.75" customHeight="1">
      <x:c r="A298" s="42"/>
      <x:c r="B298" s="6"/>
      <x:c r="F298" s="30"/>
      <x:c r="G298" s="30"/>
      <x:c r="H298" s="30"/>
      <x:c r="I298" s="30"/>
      <x:c r="J298" s="30"/>
      <x:c r="K298" s="30"/>
      <x:c r="L298" s="30"/>
    </x:row>
    <x:row r="299" ht="15.75" customHeight="1">
      <x:c r="A299" s="42"/>
      <x:c r="B299" s="6"/>
      <x:c r="F299" s="30"/>
      <x:c r="G299" s="30"/>
      <x:c r="H299" s="30"/>
      <x:c r="I299" s="30"/>
      <x:c r="J299" s="30"/>
      <x:c r="K299" s="30"/>
      <x:c r="L299" s="30"/>
    </x:row>
    <x:row r="300" ht="15.75" customHeight="1">
      <x:c r="A300" s="42"/>
      <x:c r="B300" s="6"/>
      <x:c r="F300" s="30"/>
      <x:c r="G300" s="30"/>
      <x:c r="H300" s="30"/>
      <x:c r="I300" s="30"/>
      <x:c r="J300" s="30"/>
      <x:c r="K300" s="30"/>
      <x:c r="L300" s="30"/>
    </x:row>
    <x:row r="301" ht="15.75" customHeight="1">
      <x:c r="A301" s="42"/>
      <x:c r="B301" s="6"/>
      <x:c r="F301" s="30"/>
      <x:c r="G301" s="30"/>
      <x:c r="H301" s="30"/>
      <x:c r="I301" s="30"/>
      <x:c r="J301" s="30"/>
      <x:c r="K301" s="30"/>
      <x:c r="L301" s="30"/>
    </x:row>
    <x:row r="302" ht="15.75" customHeight="1">
      <x:c r="A302" s="42"/>
      <x:c r="B302" s="6"/>
      <x:c r="F302" s="30"/>
      <x:c r="G302" s="30"/>
      <x:c r="H302" s="30"/>
      <x:c r="I302" s="30"/>
      <x:c r="J302" s="30"/>
      <x:c r="K302" s="30"/>
      <x:c r="L302" s="30"/>
    </x:row>
    <x:row r="303" ht="15.75" customHeight="1">
      <x:c r="A303" s="42"/>
      <x:c r="B303" s="6"/>
      <x:c r="F303" s="30"/>
      <x:c r="G303" s="30"/>
      <x:c r="H303" s="30"/>
      <x:c r="I303" s="30"/>
      <x:c r="J303" s="30"/>
      <x:c r="K303" s="30"/>
      <x:c r="L303" s="30"/>
    </x:row>
    <x:row r="304" ht="15.75" customHeight="1">
      <x:c r="A304" s="42"/>
      <x:c r="B304" s="6"/>
      <x:c r="F304" s="30"/>
      <x:c r="G304" s="30"/>
      <x:c r="H304" s="30"/>
      <x:c r="I304" s="30"/>
      <x:c r="J304" s="30"/>
      <x:c r="K304" s="30"/>
      <x:c r="L304" s="30"/>
    </x:row>
    <x:row r="305" ht="15.75" customHeight="1">
      <x:c r="A305" s="42"/>
      <x:c r="B305" s="6"/>
      <x:c r="F305" s="30"/>
      <x:c r="G305" s="30"/>
      <x:c r="H305" s="30"/>
      <x:c r="I305" s="30"/>
      <x:c r="J305" s="30"/>
      <x:c r="K305" s="30"/>
      <x:c r="L305" s="30"/>
    </x:row>
    <x:row r="306" ht="15.75" customHeight="1">
      <x:c r="A306" s="42"/>
      <x:c r="B306" s="6"/>
      <x:c r="F306" s="30"/>
      <x:c r="G306" s="30"/>
      <x:c r="H306" s="30"/>
      <x:c r="I306" s="30"/>
      <x:c r="J306" s="30"/>
      <x:c r="K306" s="30"/>
      <x:c r="L306" s="30"/>
    </x:row>
    <x:row r="307" ht="15.75" customHeight="1">
      <x:c r="A307" s="42"/>
      <x:c r="B307" s="6"/>
      <x:c r="F307" s="30"/>
      <x:c r="G307" s="30"/>
      <x:c r="H307" s="30"/>
      <x:c r="I307" s="30"/>
      <x:c r="J307" s="30"/>
      <x:c r="K307" s="30"/>
      <x:c r="L307" s="30"/>
    </x:row>
    <x:row r="308" ht="15.75" customHeight="1">
      <x:c r="A308" s="42"/>
      <x:c r="B308" s="6"/>
      <x:c r="F308" s="30"/>
      <x:c r="G308" s="30"/>
      <x:c r="H308" s="30"/>
      <x:c r="I308" s="30"/>
      <x:c r="J308" s="30"/>
      <x:c r="K308" s="30"/>
      <x:c r="L308" s="30"/>
    </x:row>
    <x:row r="309" ht="15.75" customHeight="1">
      <x:c r="A309" s="42"/>
      <x:c r="B309" s="6"/>
      <x:c r="F309" s="30"/>
      <x:c r="G309" s="30"/>
      <x:c r="H309" s="30"/>
      <x:c r="I309" s="30"/>
      <x:c r="J309" s="30"/>
      <x:c r="K309" s="30"/>
      <x:c r="L309" s="30"/>
    </x:row>
    <x:row r="310" ht="15.75" customHeight="1">
      <x:c r="A310" s="42"/>
      <x:c r="B310" s="6"/>
      <x:c r="F310" s="30"/>
      <x:c r="G310" s="30"/>
      <x:c r="H310" s="30"/>
      <x:c r="I310" s="30"/>
      <x:c r="J310" s="30"/>
      <x:c r="K310" s="30"/>
      <x:c r="L310" s="30"/>
    </x:row>
    <x:row r="311" ht="15.75" customHeight="1">
      <x:c r="A311" s="42"/>
      <x:c r="B311" s="6"/>
      <x:c r="F311" s="30"/>
      <x:c r="G311" s="30"/>
      <x:c r="H311" s="30"/>
      <x:c r="I311" s="30"/>
      <x:c r="J311" s="30"/>
      <x:c r="K311" s="30"/>
      <x:c r="L311" s="30"/>
    </x:row>
    <x:row r="312" ht="15.75" customHeight="1">
      <x:c r="A312" s="42"/>
      <x:c r="B312" s="6"/>
      <x:c r="F312" s="30"/>
      <x:c r="G312" s="30"/>
      <x:c r="H312" s="30"/>
      <x:c r="I312" s="30"/>
      <x:c r="J312" s="30"/>
      <x:c r="K312" s="30"/>
      <x:c r="L312" s="30"/>
    </x:row>
    <x:row r="313" ht="15.75" customHeight="1">
      <x:c r="A313" s="42"/>
      <x:c r="B313" s="6"/>
      <x:c r="F313" s="30"/>
      <x:c r="G313" s="30"/>
      <x:c r="H313" s="30"/>
      <x:c r="I313" s="30"/>
      <x:c r="J313" s="30"/>
      <x:c r="K313" s="30"/>
      <x:c r="L313" s="30"/>
    </x:row>
    <x:row r="314" ht="15.75" customHeight="1">
      <x:c r="A314" s="42"/>
      <x:c r="B314" s="6"/>
      <x:c r="F314" s="30"/>
      <x:c r="G314" s="30"/>
      <x:c r="H314" s="30"/>
      <x:c r="I314" s="30"/>
      <x:c r="J314" s="30"/>
      <x:c r="K314" s="30"/>
      <x:c r="L314" s="30"/>
    </x:row>
    <x:row r="315" ht="15.75" customHeight="1">
      <x:c r="A315" s="42"/>
      <x:c r="B315" s="6"/>
      <x:c r="F315" s="30"/>
      <x:c r="G315" s="30"/>
      <x:c r="H315" s="30"/>
      <x:c r="I315" s="30"/>
      <x:c r="J315" s="30"/>
      <x:c r="K315" s="30"/>
      <x:c r="L315" s="30"/>
    </x:row>
    <x:row r="316" ht="15.75" customHeight="1">
      <x:c r="A316" s="42"/>
      <x:c r="B316" s="6"/>
      <x:c r="F316" s="30"/>
      <x:c r="G316" s="30"/>
      <x:c r="H316" s="30"/>
      <x:c r="I316" s="30"/>
      <x:c r="J316" s="30"/>
      <x:c r="K316" s="30"/>
      <x:c r="L316" s="30"/>
    </x:row>
    <x:row r="317" ht="15.75" customHeight="1">
      <x:c r="A317" s="42"/>
      <x:c r="B317" s="6"/>
      <x:c r="F317" s="30"/>
      <x:c r="G317" s="30"/>
      <x:c r="H317" s="30"/>
      <x:c r="I317" s="30"/>
      <x:c r="J317" s="30"/>
      <x:c r="K317" s="30"/>
      <x:c r="L317" s="30"/>
    </x:row>
    <x:row r="318" ht="15.75" customHeight="1">
      <x:c r="A318" s="42"/>
      <x:c r="B318" s="6"/>
      <x:c r="F318" s="30"/>
      <x:c r="G318" s="30"/>
      <x:c r="H318" s="30"/>
      <x:c r="I318" s="30"/>
      <x:c r="J318" s="30"/>
      <x:c r="K318" s="30"/>
      <x:c r="L318" s="30"/>
    </x:row>
    <x:row r="319" ht="15.75" customHeight="1">
      <x:c r="A319" s="42"/>
      <x:c r="B319" s="6"/>
      <x:c r="F319" s="30"/>
      <x:c r="G319" s="30"/>
      <x:c r="H319" s="30"/>
      <x:c r="I319" s="30"/>
      <x:c r="J319" s="30"/>
      <x:c r="K319" s="30"/>
      <x:c r="L319" s="30"/>
    </x:row>
    <x:row r="320" ht="15.75" customHeight="1">
      <x:c r="A320" s="42"/>
      <x:c r="B320" s="6"/>
      <x:c r="F320" s="30"/>
      <x:c r="G320" s="30"/>
      <x:c r="H320" s="30"/>
      <x:c r="I320" s="30"/>
      <x:c r="J320" s="30"/>
      <x:c r="K320" s="30"/>
      <x:c r="L320" s="30"/>
    </x:row>
    <x:row r="321" ht="15.75" customHeight="1">
      <x:c r="A321" s="42"/>
      <x:c r="B321" s="6"/>
      <x:c r="F321" s="30"/>
      <x:c r="G321" s="30"/>
      <x:c r="H321" s="30"/>
      <x:c r="I321" s="30"/>
      <x:c r="J321" s="30"/>
      <x:c r="K321" s="30"/>
      <x:c r="L321" s="30"/>
    </x:row>
    <x:row r="322" ht="15.75" customHeight="1">
      <x:c r="A322" s="42"/>
      <x:c r="B322" s="6"/>
      <x:c r="F322" s="30"/>
      <x:c r="G322" s="30"/>
      <x:c r="H322" s="30"/>
      <x:c r="I322" s="30"/>
      <x:c r="J322" s="30"/>
      <x:c r="K322" s="30"/>
      <x:c r="L322" s="30"/>
    </x:row>
    <x:row r="323" ht="15.75" customHeight="1">
      <x:c r="A323" s="42"/>
      <x:c r="B323" s="6"/>
      <x:c r="F323" s="30"/>
      <x:c r="G323" s="30"/>
      <x:c r="H323" s="30"/>
      <x:c r="I323" s="30"/>
      <x:c r="J323" s="30"/>
      <x:c r="K323" s="30"/>
      <x:c r="L323" s="30"/>
    </x:row>
    <x:row r="324" ht="15.75" customHeight="1">
      <x:c r="A324" s="42"/>
      <x:c r="B324" s="6"/>
      <x:c r="F324" s="30"/>
      <x:c r="G324" s="30"/>
      <x:c r="H324" s="30"/>
      <x:c r="I324" s="30"/>
      <x:c r="J324" s="30"/>
      <x:c r="K324" s="30"/>
      <x:c r="L324" s="30"/>
    </x:row>
    <x:row r="325" ht="15.75" customHeight="1">
      <x:c r="A325" s="42"/>
      <x:c r="B325" s="6"/>
      <x:c r="F325" s="30"/>
      <x:c r="G325" s="30"/>
      <x:c r="H325" s="30"/>
      <x:c r="I325" s="30"/>
      <x:c r="J325" s="30"/>
      <x:c r="K325" s="30"/>
      <x:c r="L325" s="30"/>
    </x:row>
    <x:row r="326" ht="15.75" customHeight="1">
      <x:c r="A326" s="42"/>
      <x:c r="B326" s="6"/>
      <x:c r="F326" s="30"/>
      <x:c r="G326" s="30"/>
      <x:c r="H326" s="30"/>
      <x:c r="I326" s="30"/>
      <x:c r="J326" s="30"/>
      <x:c r="K326" s="30"/>
      <x:c r="L326" s="30"/>
    </x:row>
    <x:row r="327" ht="15.75" customHeight="1">
      <x:c r="A327" s="42"/>
      <x:c r="B327" s="6"/>
      <x:c r="F327" s="30"/>
      <x:c r="G327" s="30"/>
      <x:c r="H327" s="30"/>
      <x:c r="I327" s="30"/>
      <x:c r="J327" s="30"/>
      <x:c r="K327" s="30"/>
      <x:c r="L327" s="30"/>
    </x:row>
    <x:row r="328" ht="15.75" customHeight="1">
      <x:c r="A328" s="42"/>
      <x:c r="B328" s="6"/>
      <x:c r="F328" s="30"/>
      <x:c r="G328" s="30"/>
      <x:c r="H328" s="30"/>
      <x:c r="I328" s="30"/>
      <x:c r="J328" s="30"/>
      <x:c r="K328" s="30"/>
      <x:c r="L328" s="30"/>
    </x:row>
    <x:row r="329" ht="15.75" customHeight="1">
      <x:c r="A329" s="42"/>
      <x:c r="B329" s="6"/>
      <x:c r="F329" s="30"/>
      <x:c r="G329" s="30"/>
      <x:c r="H329" s="30"/>
      <x:c r="I329" s="30"/>
      <x:c r="J329" s="30"/>
      <x:c r="K329" s="30"/>
      <x:c r="L329" s="30"/>
    </x:row>
    <x:row r="330" ht="15.75" customHeight="1">
      <x:c r="A330" s="42"/>
      <x:c r="B330" s="6"/>
      <x:c r="F330" s="30"/>
      <x:c r="G330" s="30"/>
      <x:c r="H330" s="30"/>
      <x:c r="I330" s="30"/>
      <x:c r="J330" s="30"/>
      <x:c r="K330" s="30"/>
      <x:c r="L330" s="30"/>
    </x:row>
    <x:row r="331" ht="15.75" customHeight="1">
      <x:c r="A331" s="42"/>
      <x:c r="B331" s="6"/>
      <x:c r="F331" s="30"/>
      <x:c r="G331" s="30"/>
      <x:c r="H331" s="30"/>
      <x:c r="I331" s="30"/>
      <x:c r="J331" s="30"/>
      <x:c r="K331" s="30"/>
      <x:c r="L331" s="30"/>
    </x:row>
    <x:row r="332" ht="15.75" customHeight="1">
      <x:c r="A332" s="42"/>
      <x:c r="B332" s="6"/>
      <x:c r="F332" s="30"/>
      <x:c r="G332" s="30"/>
      <x:c r="H332" s="30"/>
      <x:c r="I332" s="30"/>
      <x:c r="J332" s="30"/>
      <x:c r="K332" s="30"/>
      <x:c r="L332" s="30"/>
    </x:row>
    <x:row r="333" ht="15.75" customHeight="1">
      <x:c r="A333" s="42"/>
      <x:c r="B333" s="6"/>
      <x:c r="F333" s="30"/>
      <x:c r="G333" s="30"/>
      <x:c r="H333" s="30"/>
      <x:c r="I333" s="30"/>
      <x:c r="J333" s="30"/>
      <x:c r="K333" s="30"/>
      <x:c r="L333" s="30"/>
    </x:row>
    <x:row r="334" ht="15.75" customHeight="1">
      <x:c r="A334" s="42"/>
      <x:c r="B334" s="6"/>
      <x:c r="F334" s="30"/>
      <x:c r="G334" s="30"/>
      <x:c r="H334" s="30"/>
      <x:c r="I334" s="30"/>
      <x:c r="J334" s="30"/>
      <x:c r="K334" s="30"/>
      <x:c r="L334" s="30"/>
    </x:row>
    <x:row r="335" ht="15.75" customHeight="1">
      <x:c r="A335" s="42"/>
      <x:c r="B335" s="6"/>
      <x:c r="F335" s="30"/>
      <x:c r="G335" s="30"/>
      <x:c r="H335" s="30"/>
      <x:c r="I335" s="30"/>
      <x:c r="J335" s="30"/>
      <x:c r="K335" s="30"/>
      <x:c r="L335" s="30"/>
    </x:row>
    <x:row r="336" ht="15.75" customHeight="1">
      <x:c r="A336" s="42"/>
      <x:c r="B336" s="6"/>
      <x:c r="F336" s="30"/>
      <x:c r="G336" s="30"/>
      <x:c r="H336" s="30"/>
      <x:c r="I336" s="30"/>
      <x:c r="J336" s="30"/>
      <x:c r="K336" s="30"/>
      <x:c r="L336" s="30"/>
    </x:row>
    <x:row r="337" ht="15.75" customHeight="1">
      <x:c r="A337" s="42"/>
      <x:c r="B337" s="6"/>
      <x:c r="F337" s="30"/>
      <x:c r="G337" s="30"/>
      <x:c r="H337" s="30"/>
      <x:c r="I337" s="30"/>
      <x:c r="J337" s="30"/>
      <x:c r="K337" s="30"/>
      <x:c r="L337" s="30"/>
    </x:row>
    <x:row r="338" ht="15.75" customHeight="1">
      <x:c r="A338" s="42"/>
      <x:c r="B338" s="6"/>
      <x:c r="F338" s="30"/>
      <x:c r="G338" s="30"/>
      <x:c r="H338" s="30"/>
      <x:c r="I338" s="30"/>
      <x:c r="J338" s="30"/>
      <x:c r="K338" s="30"/>
      <x:c r="L338" s="30"/>
    </x:row>
    <x:row r="339" ht="15.75" customHeight="1">
      <x:c r="A339" s="42"/>
      <x:c r="B339" s="6"/>
      <x:c r="F339" s="30"/>
      <x:c r="G339" s="30"/>
      <x:c r="H339" s="30"/>
      <x:c r="I339" s="30"/>
      <x:c r="J339" s="30"/>
      <x:c r="K339" s="30"/>
      <x:c r="L339" s="30"/>
    </x:row>
    <x:row r="340" ht="15.75" customHeight="1">
      <x:c r="A340" s="42"/>
      <x:c r="B340" s="6"/>
      <x:c r="F340" s="30"/>
      <x:c r="G340" s="30"/>
      <x:c r="H340" s="30"/>
      <x:c r="I340" s="30"/>
      <x:c r="J340" s="30"/>
      <x:c r="K340" s="30"/>
      <x:c r="L340" s="30"/>
    </x:row>
    <x:row r="341" ht="15.75" customHeight="1">
      <x:c r="A341" s="42"/>
      <x:c r="B341" s="6"/>
      <x:c r="F341" s="30"/>
      <x:c r="G341" s="30"/>
      <x:c r="H341" s="30"/>
      <x:c r="I341" s="30"/>
      <x:c r="J341" s="30"/>
      <x:c r="K341" s="30"/>
      <x:c r="L341" s="30"/>
    </x:row>
    <x:row r="342" ht="15.75" customHeight="1">
      <x:c r="A342" s="42"/>
      <x:c r="B342" s="6"/>
      <x:c r="F342" s="30"/>
      <x:c r="G342" s="30"/>
      <x:c r="H342" s="30"/>
      <x:c r="I342" s="30"/>
      <x:c r="J342" s="30"/>
      <x:c r="K342" s="30"/>
      <x:c r="L342" s="30"/>
    </x:row>
    <x:row r="343" ht="15.75" customHeight="1">
      <x:c r="A343" s="42"/>
      <x:c r="B343" s="6"/>
      <x:c r="F343" s="30"/>
      <x:c r="G343" s="30"/>
      <x:c r="H343" s="30"/>
      <x:c r="I343" s="30"/>
      <x:c r="J343" s="30"/>
      <x:c r="K343" s="30"/>
      <x:c r="L343" s="30"/>
    </x:row>
    <x:row r="344" ht="15.75" customHeight="1">
      <x:c r="A344" s="42"/>
      <x:c r="B344" s="6"/>
      <x:c r="F344" s="30"/>
      <x:c r="G344" s="30"/>
      <x:c r="H344" s="30"/>
      <x:c r="I344" s="30"/>
      <x:c r="J344" s="30"/>
      <x:c r="K344" s="30"/>
      <x:c r="L344" s="30"/>
    </x:row>
    <x:row r="345" ht="15.75" customHeight="1">
      <x:c r="A345" s="42"/>
      <x:c r="B345" s="6"/>
      <x:c r="F345" s="30"/>
      <x:c r="G345" s="30"/>
      <x:c r="H345" s="30"/>
      <x:c r="I345" s="30"/>
      <x:c r="J345" s="30"/>
      <x:c r="K345" s="30"/>
      <x:c r="L345" s="30"/>
    </x:row>
    <x:row r="346" ht="15.75" customHeight="1">
      <x:c r="A346" s="42"/>
      <x:c r="B346" s="6"/>
      <x:c r="F346" s="30"/>
      <x:c r="G346" s="30"/>
      <x:c r="H346" s="30"/>
      <x:c r="I346" s="30"/>
      <x:c r="J346" s="30"/>
      <x:c r="K346" s="30"/>
      <x:c r="L346" s="30"/>
    </x:row>
    <x:row r="347" ht="15.75" customHeight="1">
      <x:c r="A347" s="42"/>
      <x:c r="B347" s="6"/>
      <x:c r="F347" s="30"/>
      <x:c r="G347" s="30"/>
      <x:c r="H347" s="30"/>
      <x:c r="I347" s="30"/>
      <x:c r="J347" s="30"/>
      <x:c r="K347" s="30"/>
      <x:c r="L347" s="30"/>
    </x:row>
    <x:row r="348" ht="15.75" customHeight="1">
      <x:c r="A348" s="42"/>
      <x:c r="B348" s="6"/>
      <x:c r="F348" s="30"/>
      <x:c r="G348" s="30"/>
      <x:c r="H348" s="30"/>
      <x:c r="I348" s="30"/>
      <x:c r="J348" s="30"/>
      <x:c r="K348" s="30"/>
      <x:c r="L348" s="30"/>
    </x:row>
    <x:row r="349" ht="15.75" customHeight="1">
      <x:c r="A349" s="42"/>
      <x:c r="B349" s="6"/>
      <x:c r="F349" s="30"/>
      <x:c r="G349" s="30"/>
      <x:c r="H349" s="30"/>
      <x:c r="I349" s="30"/>
      <x:c r="J349" s="30"/>
      <x:c r="K349" s="30"/>
      <x:c r="L349" s="30"/>
    </x:row>
    <x:row r="350" ht="15.75" customHeight="1">
      <x:c r="A350" s="42"/>
      <x:c r="B350" s="6"/>
      <x:c r="F350" s="30"/>
      <x:c r="G350" s="30"/>
      <x:c r="H350" s="30"/>
      <x:c r="I350" s="30"/>
      <x:c r="J350" s="30"/>
      <x:c r="K350" s="30"/>
      <x:c r="L350" s="30"/>
    </x:row>
    <x:row r="351" ht="15.75" customHeight="1">
      <x:c r="A351" s="42"/>
      <x:c r="B351" s="6"/>
      <x:c r="F351" s="30"/>
      <x:c r="G351" s="30"/>
      <x:c r="H351" s="30"/>
      <x:c r="I351" s="30"/>
      <x:c r="J351" s="30"/>
      <x:c r="K351" s="30"/>
      <x:c r="L351" s="30"/>
    </x:row>
    <x:row r="352" ht="15.75" customHeight="1">
      <x:c r="A352" s="42"/>
      <x:c r="B352" s="6"/>
      <x:c r="F352" s="30"/>
      <x:c r="G352" s="30"/>
      <x:c r="H352" s="30"/>
      <x:c r="I352" s="30"/>
      <x:c r="J352" s="30"/>
      <x:c r="K352" s="30"/>
      <x:c r="L352" s="30"/>
    </x:row>
    <x:row r="353" ht="15.75" customHeight="1">
      <x:c r="A353" s="42"/>
      <x:c r="B353" s="6"/>
      <x:c r="F353" s="30"/>
      <x:c r="G353" s="30"/>
      <x:c r="H353" s="30"/>
      <x:c r="I353" s="30"/>
      <x:c r="J353" s="30"/>
      <x:c r="K353" s="30"/>
      <x:c r="L353" s="30"/>
    </x:row>
    <x:row r="354" ht="15.75" customHeight="1">
      <x:c r="A354" s="42"/>
      <x:c r="B354" s="6"/>
      <x:c r="F354" s="30"/>
      <x:c r="G354" s="30"/>
      <x:c r="H354" s="30"/>
      <x:c r="I354" s="30"/>
      <x:c r="J354" s="30"/>
      <x:c r="K354" s="30"/>
      <x:c r="L354" s="30"/>
    </x:row>
    <x:row r="355" ht="15.75" customHeight="1">
      <x:c r="A355" s="42"/>
      <x:c r="B355" s="6"/>
      <x:c r="F355" s="30"/>
      <x:c r="G355" s="30"/>
      <x:c r="H355" s="30"/>
      <x:c r="I355" s="30"/>
      <x:c r="J355" s="30"/>
      <x:c r="K355" s="30"/>
      <x:c r="L355" s="30"/>
    </x:row>
    <x:row r="356" ht="15.75" customHeight="1">
      <x:c r="A356" s="42"/>
      <x:c r="B356" s="6"/>
      <x:c r="F356" s="30"/>
      <x:c r="G356" s="30"/>
      <x:c r="H356" s="30"/>
      <x:c r="I356" s="30"/>
      <x:c r="J356" s="30"/>
      <x:c r="K356" s="30"/>
      <x:c r="L356" s="30"/>
    </x:row>
    <x:row r="357" ht="15.75" customHeight="1">
      <x:c r="A357" s="42"/>
      <x:c r="B357" s="6"/>
      <x:c r="F357" s="30"/>
      <x:c r="G357" s="30"/>
      <x:c r="H357" s="30"/>
      <x:c r="I357" s="30"/>
      <x:c r="J357" s="30"/>
      <x:c r="K357" s="30"/>
      <x:c r="L357" s="30"/>
    </x:row>
    <x:row r="358" ht="15.75" customHeight="1">
      <x:c r="A358" s="42"/>
      <x:c r="B358" s="6"/>
      <x:c r="F358" s="30"/>
      <x:c r="G358" s="30"/>
      <x:c r="H358" s="30"/>
      <x:c r="I358" s="30"/>
      <x:c r="J358" s="30"/>
      <x:c r="K358" s="30"/>
      <x:c r="L358" s="30"/>
    </x:row>
    <x:row r="359" ht="15.75" customHeight="1">
      <x:c r="A359" s="42"/>
      <x:c r="B359" s="6"/>
      <x:c r="F359" s="30"/>
      <x:c r="G359" s="30"/>
      <x:c r="H359" s="30"/>
      <x:c r="I359" s="30"/>
      <x:c r="J359" s="30"/>
      <x:c r="K359" s="30"/>
      <x:c r="L359" s="30"/>
    </x:row>
    <x:row r="360" ht="15.75" customHeight="1">
      <x:c r="B360" s="36"/>
    </x:row>
    <x:row r="361" ht="15.75" customHeight="1">
      <x:c r="B361" s="36"/>
    </x:row>
    <x:row r="362" ht="15.75" customHeight="1">
      <x:c r="B362" s="36"/>
    </x:row>
    <x:row r="363" ht="15.75" customHeight="1">
      <x:c r="B363" s="36"/>
    </x:row>
    <x:row r="364" ht="15.75" customHeight="1">
      <x:c r="B364" s="36"/>
    </x:row>
    <x:row r="365" ht="15.75" customHeight="1">
      <x:c r="B365" s="36"/>
    </x:row>
    <x:row r="366" ht="15.75" customHeight="1">
      <x:c r="B366" s="36"/>
    </x:row>
    <x:row r="367" ht="15.75" customHeight="1">
      <x:c r="B367" s="36"/>
    </x:row>
    <x:row r="368" ht="15.75" customHeight="1">
      <x:c r="B368" s="36"/>
    </x:row>
    <x:row r="369" ht="15.75" customHeight="1">
      <x:c r="B369" s="36"/>
    </x:row>
    <x:row r="370" ht="15.75" customHeight="1">
      <x:c r="B370" s="36"/>
    </x:row>
    <x:row r="371" ht="15.75" customHeight="1">
      <x:c r="B371" s="36"/>
    </x:row>
    <x:row r="372" ht="15.75" customHeight="1">
      <x:c r="B372" s="36"/>
    </x:row>
    <x:row r="373" ht="15.75" customHeight="1">
      <x:c r="B373" s="36"/>
    </x:row>
    <x:row r="374" ht="15.75" customHeight="1">
      <x:c r="B374" s="36"/>
    </x:row>
    <x:row r="375" ht="15.75" customHeight="1">
      <x:c r="B375" s="36"/>
    </x:row>
    <x:row r="376" ht="15.75" customHeight="1">
      <x:c r="B376" s="36"/>
    </x:row>
    <x:row r="377" ht="15.75" customHeight="1">
      <x:c r="B377" s="36"/>
    </x:row>
    <x:row r="378" ht="15.75" customHeight="1">
      <x:c r="B378" s="36"/>
    </x:row>
    <x:row r="379" ht="15.75" customHeight="1">
      <x:c r="B379" s="36"/>
    </x:row>
    <x:row r="380" ht="15.75" customHeight="1">
      <x:c r="B380" s="36"/>
    </x:row>
    <x:row r="381" ht="15.75" customHeight="1">
      <x:c r="B381" s="36"/>
    </x:row>
    <x:row r="382" ht="15.75" customHeight="1">
      <x:c r="B382" s="36"/>
    </x:row>
    <x:row r="383" ht="15.75" customHeight="1">
      <x:c r="B383" s="36"/>
    </x:row>
    <x:row r="384" ht="15.75" customHeight="1">
      <x:c r="B384" s="36"/>
    </x:row>
    <x:row r="385" ht="15.75" customHeight="1">
      <x:c r="B385" s="36"/>
    </x:row>
    <x:row r="386" ht="15.75" customHeight="1">
      <x:c r="B386" s="36"/>
    </x:row>
    <x:row r="387" ht="15.75" customHeight="1">
      <x:c r="B387" s="36"/>
    </x:row>
    <x:row r="388" ht="15.75" customHeight="1">
      <x:c r="B388" s="36"/>
    </x:row>
    <x:row r="389" ht="15.75" customHeight="1">
      <x:c r="B389" s="36"/>
    </x:row>
    <x:row r="390" ht="15.75" customHeight="1">
      <x:c r="B390" s="36"/>
    </x:row>
    <x:row r="391" ht="15.75" customHeight="1">
      <x:c r="B391" s="36"/>
    </x:row>
    <x:row r="392" ht="15.75" customHeight="1">
      <x:c r="B392" s="36"/>
    </x:row>
    <x:row r="393" ht="15.75" customHeight="1">
      <x:c r="B393" s="36"/>
    </x:row>
    <x:row r="394" ht="15.75" customHeight="1">
      <x:c r="B394" s="36"/>
    </x:row>
    <x:row r="395" ht="15.75" customHeight="1">
      <x:c r="B395" s="36"/>
    </x:row>
    <x:row r="396" ht="15.75" customHeight="1">
      <x:c r="B396" s="36"/>
    </x:row>
    <x:row r="397" ht="15.75" customHeight="1">
      <x:c r="B397" s="36"/>
    </x:row>
    <x:row r="398" ht="15.75" customHeight="1">
      <x:c r="B398" s="36"/>
    </x:row>
    <x:row r="399" ht="15.75" customHeight="1">
      <x:c r="B399" s="36"/>
    </x:row>
    <x:row r="400" ht="15.75" customHeight="1">
      <x:c r="B400" s="36"/>
    </x:row>
    <x:row r="401" ht="15.75" customHeight="1">
      <x:c r="B401" s="36"/>
    </x:row>
    <x:row r="402" ht="15.75" customHeight="1">
      <x:c r="B402" s="36"/>
    </x:row>
    <x:row r="403" ht="15.75" customHeight="1">
      <x:c r="B403" s="36"/>
    </x:row>
    <x:row r="404" ht="15.75" customHeight="1">
      <x:c r="B404" s="36"/>
    </x:row>
    <x:row r="405" ht="15.75" customHeight="1">
      <x:c r="B405" s="36"/>
    </x:row>
    <x:row r="406" ht="15.75" customHeight="1">
      <x:c r="B406" s="36"/>
    </x:row>
    <x:row r="407" ht="15.75" customHeight="1">
      <x:c r="B407" s="36"/>
    </x:row>
    <x:row r="408" ht="15.75" customHeight="1">
      <x:c r="B408" s="36"/>
    </x:row>
    <x:row r="409" ht="15.75" customHeight="1">
      <x:c r="B409" s="36"/>
    </x:row>
    <x:row r="410" ht="15.75" customHeight="1">
      <x:c r="B410" s="36"/>
    </x:row>
    <x:row r="411" ht="15.75" customHeight="1">
      <x:c r="B411" s="36"/>
    </x:row>
    <x:row r="412" ht="15.75" customHeight="1">
      <x:c r="B412" s="36"/>
    </x:row>
    <x:row r="413" ht="15.75" customHeight="1">
      <x:c r="B413" s="36"/>
    </x:row>
    <x:row r="414" ht="15.75" customHeight="1">
      <x:c r="B414" s="36"/>
    </x:row>
    <x:row r="415" ht="15.75" customHeight="1">
      <x:c r="B415" s="36"/>
    </x:row>
    <x:row r="416" ht="15.75" customHeight="1">
      <x:c r="B416" s="36"/>
    </x:row>
    <x:row r="417" ht="15.75" customHeight="1">
      <x:c r="B417" s="36"/>
    </x:row>
    <x:row r="418" ht="15.75" customHeight="1">
      <x:c r="B418" s="36"/>
    </x:row>
    <x:row r="419" ht="15.75" customHeight="1">
      <x:c r="B419" s="36"/>
    </x:row>
    <x:row r="420" ht="15.75" customHeight="1">
      <x:c r="B420" s="36"/>
    </x:row>
    <x:row r="421" ht="15.75" customHeight="1">
      <x:c r="B421" s="36"/>
    </x:row>
    <x:row r="422" ht="15.75" customHeight="1">
      <x:c r="B422" s="36"/>
    </x:row>
    <x:row r="423" ht="15.75" customHeight="1">
      <x:c r="B423" s="36"/>
    </x:row>
    <x:row r="424" ht="15.75" customHeight="1">
      <x:c r="B424" s="36"/>
    </x:row>
    <x:row r="425" ht="15.75" customHeight="1">
      <x:c r="B425" s="36"/>
    </x:row>
    <x:row r="426" ht="15.75" customHeight="1">
      <x:c r="B426" s="36"/>
    </x:row>
    <x:row r="427" ht="15.75" customHeight="1">
      <x:c r="B427" s="36"/>
    </x:row>
    <x:row r="428" ht="15.75" customHeight="1">
      <x:c r="B428" s="36"/>
    </x:row>
    <x:row r="429" ht="15.75" customHeight="1">
      <x:c r="B429" s="36"/>
    </x:row>
    <x:row r="430" ht="15.75" customHeight="1">
      <x:c r="B430" s="36"/>
    </x:row>
    <x:row r="431" ht="15.75" customHeight="1">
      <x:c r="B431" s="36"/>
    </x:row>
    <x:row r="432" ht="15.75" customHeight="1">
      <x:c r="B432" s="36"/>
    </x:row>
    <x:row r="433" ht="15.75" customHeight="1">
      <x:c r="B433" s="36"/>
    </x:row>
    <x:row r="434" ht="15.75" customHeight="1">
      <x:c r="B434" s="36"/>
    </x:row>
    <x:row r="435" ht="15.75" customHeight="1">
      <x:c r="B435" s="36"/>
    </x:row>
    <x:row r="436" ht="15.75" customHeight="1">
      <x:c r="B436" s="36"/>
    </x:row>
    <x:row r="437" ht="15.75" customHeight="1">
      <x:c r="B437" s="36"/>
    </x:row>
    <x:row r="438" ht="15.75" customHeight="1">
      <x:c r="B438" s="36"/>
    </x:row>
    <x:row r="439" ht="15.75" customHeight="1">
      <x:c r="B439" s="36"/>
    </x:row>
    <x:row r="440" ht="15.75" customHeight="1">
      <x:c r="B440" s="36"/>
    </x:row>
    <x:row r="441" ht="15.75" customHeight="1">
      <x:c r="B441" s="36"/>
    </x:row>
    <x:row r="442" ht="15.75" customHeight="1">
      <x:c r="B442" s="36"/>
    </x:row>
    <x:row r="443" ht="15.75" customHeight="1">
      <x:c r="B443" s="36"/>
    </x:row>
    <x:row r="444" ht="15.75" customHeight="1">
      <x:c r="B444" s="36"/>
    </x:row>
    <x:row r="445" ht="15.75" customHeight="1">
      <x:c r="B445" s="36"/>
    </x:row>
    <x:row r="446" ht="15.75" customHeight="1">
      <x:c r="B446" s="36"/>
    </x:row>
    <x:row r="447" ht="15.75" customHeight="1">
      <x:c r="B447" s="36"/>
    </x:row>
    <x:row r="448" ht="15.75" customHeight="1">
      <x:c r="B448" s="36"/>
    </x:row>
    <x:row r="449" ht="15.75" customHeight="1">
      <x:c r="B449" s="36"/>
    </x:row>
    <x:row r="450" ht="15.75" customHeight="1">
      <x:c r="B450" s="36"/>
    </x:row>
    <x:row r="451" ht="15.75" customHeight="1">
      <x:c r="B451" s="36"/>
    </x:row>
    <x:row r="452" ht="15.75" customHeight="1">
      <x:c r="B452" s="36"/>
    </x:row>
    <x:row r="453" ht="15.75" customHeight="1">
      <x:c r="B453" s="36"/>
    </x:row>
    <x:row r="454" ht="15.75" customHeight="1">
      <x:c r="B454" s="36"/>
    </x:row>
    <x:row r="455" ht="15.75" customHeight="1">
      <x:c r="B455" s="36"/>
    </x:row>
    <x:row r="456" ht="15.75" customHeight="1">
      <x:c r="B456" s="36"/>
    </x:row>
    <x:row r="457" ht="15.75" customHeight="1">
      <x:c r="B457" s="36"/>
    </x:row>
    <x:row r="458" ht="15.75" customHeight="1">
      <x:c r="B458" s="36"/>
    </x:row>
    <x:row r="459" ht="15.75" customHeight="1">
      <x:c r="B459" s="36"/>
    </x:row>
    <x:row r="460" ht="15.75" customHeight="1">
      <x:c r="B460" s="36"/>
    </x:row>
    <x:row r="461" ht="15.75" customHeight="1">
      <x:c r="B461" s="36"/>
    </x:row>
    <x:row r="462" ht="15.75" customHeight="1">
      <x:c r="B462" s="36"/>
    </x:row>
    <x:row r="463" ht="15.75" customHeight="1">
      <x:c r="B463" s="36"/>
    </x:row>
    <x:row r="464" ht="15.75" customHeight="1">
      <x:c r="B464" s="36"/>
    </x:row>
    <x:row r="465" ht="15.75" customHeight="1">
      <x:c r="B465" s="36"/>
    </x:row>
    <x:row r="466" ht="15.75" customHeight="1">
      <x:c r="B466" s="36"/>
    </x:row>
    <x:row r="467" ht="15.75" customHeight="1">
      <x:c r="B467" s="36"/>
    </x:row>
    <x:row r="468" ht="15.75" customHeight="1">
      <x:c r="B468" s="36"/>
    </x:row>
    <x:row r="469" ht="15.75" customHeight="1">
      <x:c r="B469" s="36"/>
    </x:row>
    <x:row r="470" ht="15.75" customHeight="1">
      <x:c r="B470" s="36"/>
    </x:row>
    <x:row r="471" ht="15.75" customHeight="1">
      <x:c r="B471" s="36"/>
    </x:row>
    <x:row r="472" ht="15.75" customHeight="1">
      <x:c r="B472" s="36"/>
    </x:row>
    <x:row r="473" ht="15.75" customHeight="1">
      <x:c r="B473" s="36"/>
    </x:row>
    <x:row r="474" ht="15.75" customHeight="1">
      <x:c r="B474" s="36"/>
    </x:row>
    <x:row r="475" ht="15.75" customHeight="1">
      <x:c r="B475" s="36"/>
    </x:row>
    <x:row r="476" ht="15.75" customHeight="1">
      <x:c r="B476" s="36"/>
    </x:row>
    <x:row r="477" ht="15.75" customHeight="1">
      <x:c r="B477" s="36"/>
    </x:row>
    <x:row r="478" ht="15.75" customHeight="1">
      <x:c r="B478" s="36"/>
    </x:row>
    <x:row r="479" ht="15.75" customHeight="1">
      <x:c r="B479" s="36"/>
    </x:row>
    <x:row r="480" ht="15.75" customHeight="1">
      <x:c r="B480" s="36"/>
    </x:row>
    <x:row r="481" ht="15.75" customHeight="1">
      <x:c r="B481" s="36"/>
    </x:row>
    <x:row r="482" ht="15.75" customHeight="1">
      <x:c r="B482" s="36"/>
    </x:row>
    <x:row r="483" ht="15.75" customHeight="1">
      <x:c r="B483" s="36"/>
    </x:row>
    <x:row r="484" ht="15.75" customHeight="1">
      <x:c r="B484" s="36"/>
    </x:row>
    <x:row r="485" ht="15.75" customHeight="1">
      <x:c r="B485" s="36"/>
    </x:row>
    <x:row r="486" ht="15.75" customHeight="1">
      <x:c r="B486" s="36"/>
    </x:row>
    <x:row r="487" ht="15.75" customHeight="1">
      <x:c r="B487" s="36"/>
    </x:row>
    <x:row r="488" ht="15.75" customHeight="1">
      <x:c r="B488" s="36"/>
    </x:row>
    <x:row r="489" ht="15.75" customHeight="1">
      <x:c r="B489" s="36"/>
    </x:row>
    <x:row r="490" ht="15.75" customHeight="1">
      <x:c r="B490" s="36"/>
    </x:row>
    <x:row r="491" ht="15.75" customHeight="1">
      <x:c r="B491" s="36"/>
    </x:row>
    <x:row r="492" ht="15.75" customHeight="1">
      <x:c r="B492" s="36"/>
    </x:row>
    <x:row r="493" ht="15.75" customHeight="1">
      <x:c r="B493" s="36"/>
    </x:row>
    <x:row r="494" ht="15.75" customHeight="1">
      <x:c r="B494" s="36"/>
    </x:row>
    <x:row r="495" ht="15.75" customHeight="1">
      <x:c r="B495" s="36"/>
    </x:row>
    <x:row r="496" ht="15.75" customHeight="1">
      <x:c r="B496" s="36"/>
    </x:row>
    <x:row r="497" ht="15.75" customHeight="1">
      <x:c r="B497" s="36"/>
    </x:row>
    <x:row r="498" ht="15.75" customHeight="1">
      <x:c r="B498" s="36"/>
    </x:row>
    <x:row r="499" ht="15.75" customHeight="1">
      <x:c r="B499" s="36"/>
    </x:row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N1:P1"/>
    <x:mergeCell ref="N10:P10"/>
  </x:mergeCells>
  <x:conditionalFormatting sqref="A2:L200">
    <x:cfRule type="expression" dxfId="4" priority="1">
      <x:formula>$J2="N"</x:formula>
    </x:cfRule>
  </x:conditionalFormatting>
  <x:dataValidations count="5">
    <x:dataValidation type="list" allowBlank="1" sqref="E2:E200">
      <x:formula1>"higher,lower"</x:formula1>
    </x:dataValidation>
    <x:dataValidation type="list" allowBlank="1" sqref="C2:C200">
      <x:formula1>"metric,index"</x:formula1>
    </x:dataValidation>
    <x:dataValidation type="list" allowBlank="1" sqref="I2:J200">
      <x:formula1>"Y,N"</x:formula1>
    </x:dataValidation>
    <x:dataValidation type="list" allowBlank="1" sqref="F2:F200">
      <x:formula1>"target,direct_score,linear,inverse"</x:formula1>
    </x:dataValidation>
    <x:dataValidation type="list" allowBlank="1" sqref="B2:B499">
      <x:formula1>Metric_Dictionary!$A$2:$A$200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a7be5571654199"/>
  </x:tableParts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2" width="16" customWidth="1"/>
    <x:col min="3" max="3" width="28" customWidth="1"/>
    <x:col min="4" max="4" width="30" customWidth="1"/>
    <x:col min="5" max="7" width="12" customWidth="1"/>
    <x:col min="8" max="8" width="42" customWidth="1"/>
    <x:col min="9" max="9" width="24" customWidth="1"/>
    <x:col min="10" max="10" width="12" customWidth="1"/>
    <x:col min="11" max="11" width="18" customWidth="1"/>
  </x:cols>
  <x:sheetData>
    <x:row r="1">
      <x:c r="A1" s="1" t="s">
        <x:v>68</x:v>
      </x:c>
      <x:c r="B1" s="1" t="s">
        <x:v>1</x:v>
      </x:c>
      <x:c r="C1" s="1" t="s">
        <x:v>0</x:v>
      </x:c>
      <x:c r="D1" s="1" t="s">
        <x:v>2</x:v>
      </x:c>
      <x:c r="E1" s="1" t="s">
        <x:v>69</x:v>
      </x:c>
      <x:c r="F1" s="1" t="s">
        <x:v>7</x:v>
      </x:c>
      <x:c r="G1" s="1" t="s">
        <x:v>3</x:v>
      </x:c>
      <x:c r="H1" s="1" t="s">
        <x:v>8</x:v>
      </x:c>
      <x:c r="I1" s="1" t="s">
        <x:v>4</x:v>
      </x:c>
      <x:c r="J1" s="1" t="s">
        <x:v>5</x:v>
      </x:c>
      <x:c r="K1" s="1" t="s">
        <x:v>6</x:v>
      </x:c>
    </x:row>
    <x:row r="2">
      <x:c r="A2" s="8" t="n">
        <x:f>Dashboard_Values!A3</x:f>
        <x:v>45657</x:v>
      </x:c>
      <x:c r="B2" s="6" t="str">
        <x:f>IFERROR(VLOOKUP(C2,Metric_Dictionary!$A:$I,2,FALSE),"")</x:f>
        <x:v>system</x:v>
      </x:c>
      <x:c r="C2" s="6" t="str">
        <x:f>Dashboard_Values!B3</x:f>
        <x:v>mission_index</x:v>
      </x:c>
      <x:c r="D2" s="6" t="str">
        <x:f>IFERROR(VLOOKUP(C2,Metric_Dictionary!$A:$I,3,FALSE),"")</x:f>
        <x:v>Mission Impact Index</x:v>
      </x:c>
      <x:c r="E2" s="6" t="n">
        <x:f>Dashboard_Values!C3</x:f>
        <x:v>80</x:v>
      </x:c>
      <x:c r="F2" s="6" t="n">
        <x:f>IFERROR(VLOOKUP(C2,Metric_Dictionary!$A:$I,8,FALSE),"")</x:f>
        <x:v>88</x:v>
      </x:c>
      <x:c r="G2" s="6" t="str">
        <x:f>IFERROR(VLOOKUP(C2,Metric_Dictionary!$A:$I,4,FALSE),"")</x:f>
        <x:v>score</x:v>
      </x:c>
      <x:c r="H2" s="6" t="str">
        <x:f>IFERROR(VLOOKUP(C2,Metric_Dictionary!$A:$I,9,FALSE),"")</x:f>
        <x:v>Are we achieving what we exist to do?</x:v>
      </x:c>
      <x:c r="I2" s="6" t="str">
        <x:f>IFERROR(VLOOKUP(C2,Metric_Dictionary!$A:$I,5,FALSE),"")</x:f>
        <x:v>fa-bullseye</x:v>
      </x:c>
      <x:c r="J2" s="6" t="n">
        <x:f>IFERROR(VLOOKUP(C2,Metric_Dictionary!$A:$I,6,FALSE),"")</x:f>
        <x:v>2</x:v>
      </x:c>
      <x:c r="K2" s="6" t="str">
        <x:f>IFERROR(VLOOKUP(C2,Metric_Dictionary!$A:$I,7,FALSE),"")</x:f>
        <x:v>Y</x:v>
      </x:c>
    </x:row>
    <x:row r="3">
      <x:c r="A3" s="8" t="n">
        <x:f>Dashboard_Values!A4</x:f>
        <x:v>45657</x:v>
      </x:c>
      <x:c r="B3" s="6" t="str">
        <x:f>IFERROR(VLOOKUP(C3,Metric_Dictionary!$A:$I,2,FALSE),"")</x:f>
        <x:v>system</x:v>
      </x:c>
      <x:c r="C3" s="6" t="str">
        <x:f>Dashboard_Values!B4</x:f>
        <x:v>financial_index</x:v>
      </x:c>
      <x:c r="D3" s="6" t="str">
        <x:f>IFERROR(VLOOKUP(C3,Metric_Dictionary!$A:$I,3,FALSE),"")</x:f>
        <x:v>Financial Strength Index</x:v>
      </x:c>
      <x:c r="E3" s="6" t="n">
        <x:f>Dashboard_Values!C4</x:f>
        <x:v>71</x:v>
      </x:c>
      <x:c r="F3" s="6" t="n">
        <x:f>IFERROR(VLOOKUP(C3,Metric_Dictionary!$A:$I,8,FALSE),"")</x:f>
        <x:v>82</x:v>
      </x:c>
      <x:c r="G3" s="6" t="str">
        <x:f>IFERROR(VLOOKUP(C3,Metric_Dictionary!$A:$I,4,FALSE),"")</x:f>
        <x:v>score</x:v>
      </x:c>
      <x:c r="H3" s="6" t="str">
        <x:f>IFERROR(VLOOKUP(C3,Metric_Dictionary!$A:$I,9,FALSE),"")</x:f>
        <x:v>Are we operating like a healthy organization?</x:v>
      </x:c>
      <x:c r="I3" s="6" t="str">
        <x:f>IFERROR(VLOOKUP(C3,Metric_Dictionary!$A:$I,5,FALSE),"")</x:f>
        <x:v>fa-chart-line</x:v>
      </x:c>
      <x:c r="J3" s="6" t="n">
        <x:f>IFERROR(VLOOKUP(C3,Metric_Dictionary!$A:$I,6,FALSE),"")</x:f>
        <x:v>3</x:v>
      </x:c>
      <x:c r="K3" s="6" t="str">
        <x:f>IFERROR(VLOOKUP(C3,Metric_Dictionary!$A:$I,7,FALSE),"")</x:f>
        <x:v>Y</x:v>
      </x:c>
    </x:row>
    <x:row r="4">
      <x:c r="A4" s="8" t="n">
        <x:f>Dashboard_Values!A5</x:f>
        <x:v>45657</x:v>
      </x:c>
      <x:c r="B4" s="6" t="str">
        <x:f>IFERROR(VLOOKUP(C4,Metric_Dictionary!$A:$I,2,FALSE),"")</x:f>
        <x:v>system</x:v>
      </x:c>
      <x:c r="C4" s="6" t="str">
        <x:f>Dashboard_Values!B5</x:f>
        <x:v>sustainability_index</x:v>
      </x:c>
      <x:c r="D4" s="6" t="str">
        <x:f>IFERROR(VLOOKUP(C4,Metric_Dictionary!$A:$I,3,FALSE),"")</x:f>
        <x:v>Sustainability Index</x:v>
      </x:c>
      <x:c r="E4" s="6" t="n">
        <x:f>Dashboard_Values!C5</x:f>
        <x:v>65</x:v>
      </x:c>
      <x:c r="F4" s="6" t="n">
        <x:f>IFERROR(VLOOKUP(C4,Metric_Dictionary!$A:$I,8,FALSE),"")</x:f>
        <x:v>80</x:v>
      </x:c>
      <x:c r="G4" s="6" t="str">
        <x:f>IFERROR(VLOOKUP(C4,Metric_Dictionary!$A:$I,4,FALSE),"")</x:f>
        <x:v>score</x:v>
      </x:c>
      <x:c r="H4" s="6" t="str">
        <x:f>IFERROR(VLOOKUP(C4,Metric_Dictionary!$A:$I,9,FALSE),"")</x:f>
        <x:v>Will we remain relevant and grow?</x:v>
      </x:c>
      <x:c r="I4" s="6" t="str">
        <x:f>IFERROR(VLOOKUP(C4,Metric_Dictionary!$A:$I,5,FALSE),"")</x:f>
        <x:v>fa-seedling</x:v>
      </x:c>
      <x:c r="J4" s="6" t="n">
        <x:f>IFERROR(VLOOKUP(C4,Metric_Dictionary!$A:$I,6,FALSE),"")</x:f>
        <x:v>4</x:v>
      </x:c>
      <x:c r="K4" s="6" t="str">
        <x:f>IFERROR(VLOOKUP(C4,Metric_Dictionary!$A:$I,7,FALSE),"")</x:f>
        <x:v>Y</x:v>
      </x:c>
    </x:row>
    <x:row r="5">
      <x:c r="A5" s="8" t="n">
        <x:f>Dashboard_Values!A6</x:f>
        <x:v>45657</x:v>
      </x:c>
      <x:c r="B5" s="6" t="str">
        <x:f>IFERROR(VLOOKUP(C5,Metric_Dictionary!$A:$I,2,FALSE),"")</x:f>
        <x:v>mission</x:v>
      </x:c>
      <x:c r="C5" s="6" t="str">
        <x:f>Dashboard_Values!B6</x:f>
        <x:v>students_impacted</x:v>
      </x:c>
      <x:c r="D5" s="6" t="str">
        <x:f>IFERROR(VLOOKUP(C5,Metric_Dictionary!$A:$I,3,FALSE),"")</x:f>
        <x:v>Households Reached</x:v>
      </x:c>
      <x:c r="E5" s="6" t="n">
        <x:f>Dashboard_Values!C6</x:f>
        <x:v>13</x:v>
      </x:c>
      <x:c r="F5" s="6" t="n">
        <x:f>IFERROR(VLOOKUP(C5,Metric_Dictionary!$A:$I,8,FALSE),"")</x:f>
        <x:v>31</x:v>
      </x:c>
      <x:c r="G5" s="6" t="str">
        <x:f>IFERROR(VLOOKUP(C5,Metric_Dictionary!$A:$I,4,FALSE),"")</x:f>
        <x:v>percent</x:v>
      </x:c>
      <x:c r="H5" s="6" t="str">
        <x:f>IFERROR(VLOOKUP(C5,Metric_Dictionary!$A:$I,9,FALSE),"")</x:f>
        <x:v>Percent of regional students served.</x:v>
      </x:c>
      <x:c r="I5" s="6" t="str">
        <x:f>IFERROR(VLOOKUP(C5,Metric_Dictionary!$A:$I,5,FALSE),"")</x:f>
        <x:v>fa-user-graduate</x:v>
      </x:c>
      <x:c r="J5" s="6" t="n">
        <x:f>IFERROR(VLOOKUP(C5,Metric_Dictionary!$A:$I,6,FALSE),"")</x:f>
        <x:v>1</x:v>
      </x:c>
      <x:c r="K5" s="6" t="str">
        <x:f>IFERROR(VLOOKUP(C5,Metric_Dictionary!$A:$I,7,FALSE),"")</x:f>
        <x:v>Y</x:v>
      </x:c>
    </x:row>
    <x:row r="6">
      <x:c r="A6" s="8" t="n">
        <x:f>Dashboard_Values!A7</x:f>
        <x:v>45657</x:v>
      </x:c>
      <x:c r="B6" s="6" t="str">
        <x:f>IFERROR(VLOOKUP(C6,Metric_Dictionary!$A:$I,2,FALSE),"")</x:f>
        <x:v>mission</x:v>
      </x:c>
      <x:c r="C6" s="6" t="str">
        <x:f>Dashboard_Values!B7</x:f>
        <x:v>population_reached</x:v>
      </x:c>
      <x:c r="D6" s="6" t="str">
        <x:f>IFERROR(VLOOKUP(C6,Metric_Dictionary!$A:$I,3,FALSE),"")</x:f>
        <x:v>Population Reached</x:v>
      </x:c>
      <x:c r="E6" s="6" t="n">
        <x:f>Dashboard_Values!C7</x:f>
        <x:v>89000</x:v>
      </x:c>
      <x:c r="F6" s="6" t="n">
        <x:f>IFERROR(VLOOKUP(C6,Metric_Dictionary!$A:$I,8,FALSE),"")</x:f>
        <x:v>101000</x:v>
      </x:c>
      <x:c r="G6" s="6" t="str">
        <x:f>IFERROR(VLOOKUP(C6,Metric_Dictionary!$A:$I,4,FALSE),"")</x:f>
        <x:v>number</x:v>
      </x:c>
      <x:c r="H6" s="6" t="str">
        <x:f>IFERROR(VLOOKUP(C6,Metric_Dictionary!$A:$I,9,FALSE),"")</x:f>
        <x:v>Annual engagements.</x:v>
      </x:c>
      <x:c r="I6" s="6" t="str">
        <x:f>IFERROR(VLOOKUP(C6,Metric_Dictionary!$A:$I,5,FALSE),"")</x:f>
        <x:v>fa-people-group</x:v>
      </x:c>
      <x:c r="J6" s="6" t="n">
        <x:f>IFERROR(VLOOKUP(C6,Metric_Dictionary!$A:$I,6,FALSE),"")</x:f>
        <x:v>2</x:v>
      </x:c>
      <x:c r="K6" s="6" t="str">
        <x:f>IFERROR(VLOOKUP(C6,Metric_Dictionary!$A:$I,7,FALSE),"")</x:f>
        <x:v>Y</x:v>
      </x:c>
    </x:row>
    <x:row r="7">
      <x:c r="A7" s="8" t="n">
        <x:f>Dashboard_Values!A8</x:f>
        <x:v>45657</x:v>
      </x:c>
      <x:c r="B7" s="6" t="str">
        <x:f>IFERROR(VLOOKUP(C7,Metric_Dictionary!$A:$I,2,FALSE),"")</x:f>
        <x:v>mission</x:v>
      </x:c>
      <x:c r="C7" s="6" t="str">
        <x:f>Dashboard_Values!B8</x:f>
        <x:v>schools_reached</x:v>
      </x:c>
      <x:c r="D7" s="6" t="str">
        <x:f>IFERROR(VLOOKUP(C7,Metric_Dictionary!$A:$I,3,FALSE),"")</x:f>
        <x:v>Schools Reached</x:v>
      </x:c>
      <x:c r="E7" s="6" t="n">
        <x:f>Dashboard_Values!C8</x:f>
        <x:v>34</x:v>
      </x:c>
      <x:c r="F7" s="6" t="n">
        <x:f>IFERROR(VLOOKUP(C7,Metric_Dictionary!$A:$I,8,FALSE),"")</x:f>
        <x:v>50</x:v>
      </x:c>
      <x:c r="G7" s="6" t="str">
        <x:f>IFERROR(VLOOKUP(C7,Metric_Dictionary!$A:$I,4,FALSE),"")</x:f>
        <x:v>percent</x:v>
      </x:c>
      <x:c r="H7" s="6" t="str">
        <x:f>IFERROR(VLOOKUP(C7,Metric_Dictionary!$A:$I,9,FALSE),"")</x:f>
        <x:v>Percent of North Dakota schools served.</x:v>
      </x:c>
      <x:c r="I7" s="6" t="str">
        <x:f>IFERROR(VLOOKUP(C7,Metric_Dictionary!$A:$I,5,FALSE),"")</x:f>
        <x:v>fa-school</x:v>
      </x:c>
      <x:c r="J7" s="6" t="n">
        <x:f>IFERROR(VLOOKUP(C7,Metric_Dictionary!$A:$I,6,FALSE),"")</x:f>
        <x:v>3</x:v>
      </x:c>
      <x:c r="K7" s="6" t="str">
        <x:f>IFERROR(VLOOKUP(C7,Metric_Dictionary!$A:$I,7,FALSE),"")</x:f>
        <x:v>Y</x:v>
      </x:c>
    </x:row>
    <x:row r="8">
      <x:c r="A8" s="8" t="n">
        <x:f>Dashboard_Values!A9</x:f>
        <x:v>45657</x:v>
      </x:c>
      <x:c r="B8" s="6" t="str">
        <x:f>IFERROR(VLOOKUP(C8,Metric_Dictionary!$A:$I,2,FALSE),"")</x:f>
        <x:v>financial</x:v>
      </x:c>
      <x:c r="C8" s="6" t="str">
        <x:f>Dashboard_Values!B9</x:f>
        <x:v>earned_revenue_ratio</x:v>
      </x:c>
      <x:c r="D8" s="6" t="str">
        <x:f>IFERROR(VLOOKUP(C8,Metric_Dictionary!$A:$I,3,FALSE),"")</x:f>
        <x:v>Earned Revenue Ratio</x:v>
      </x:c>
      <x:c r="E8" s="6" t="n">
        <x:f>Dashboard_Values!C9</x:f>
        <x:v>42</x:v>
      </x:c>
      <x:c r="F8" s="6" t="n">
        <x:f>IFERROR(VLOOKUP(C8,Metric_Dictionary!$A:$I,8,FALSE),"")</x:f>
        <x:v>70</x:v>
      </x:c>
      <x:c r="G8" s="6" t="str">
        <x:f>IFERROR(VLOOKUP(C8,Metric_Dictionary!$A:$I,4,FALSE),"")</x:f>
        <x:v>percent</x:v>
      </x:c>
      <x:c r="H8" s="6" t="str">
        <x:f>IFERROR(VLOOKUP(C8,Metric_Dictionary!$A:$I,9,FALSE),"")</x:f>
        <x:v>Earned revenue share.</x:v>
      </x:c>
      <x:c r="I8" s="6" t="str">
        <x:f>IFERROR(VLOOKUP(C8,Metric_Dictionary!$A:$I,5,FALSE),"")</x:f>
        <x:v>fa-hand-holding-dollar</x:v>
      </x:c>
      <x:c r="J8" s="6" t="n">
        <x:f>IFERROR(VLOOKUP(C8,Metric_Dictionary!$A:$I,6,FALSE),"")</x:f>
        <x:v>1</x:v>
      </x:c>
      <x:c r="K8" s="6" t="str">
        <x:f>IFERROR(VLOOKUP(C8,Metric_Dictionary!$A:$I,7,FALSE),"")</x:f>
        <x:v>Y</x:v>
      </x:c>
    </x:row>
    <x:row r="9">
      <x:c r="A9" s="8" t="n">
        <x:f>Dashboard_Values!A10</x:f>
        <x:v>45657</x:v>
      </x:c>
      <x:c r="B9" s="6" t="str">
        <x:f>IFERROR(VLOOKUP(C9,Metric_Dictionary!$A:$I,2,FALSE),"")</x:f>
        <x:v>financial</x:v>
      </x:c>
      <x:c r="C9" s="6" t="str">
        <x:f>Dashboard_Values!B10</x:f>
        <x:v>program_spending</x:v>
      </x:c>
      <x:c r="D9" s="6" t="str">
        <x:f>IFERROR(VLOOKUP(C9,Metric_Dictionary!$A:$I,3,FALSE),"")</x:f>
        <x:v>Program Spending</x:v>
      </x:c>
      <x:c r="E9" s="6" t="n">
        <x:f>Dashboard_Values!C10</x:f>
        <x:v>72</x:v>
      </x:c>
      <x:c r="F9" s="6" t="n">
        <x:f>IFERROR(VLOOKUP(C9,Metric_Dictionary!$A:$I,8,FALSE),"")</x:f>
        <x:v>85</x:v>
      </x:c>
      <x:c r="G9" s="6" t="str">
        <x:f>IFERROR(VLOOKUP(C9,Metric_Dictionary!$A:$I,4,FALSE),"")</x:f>
        <x:v>percent</x:v>
      </x:c>
      <x:c r="H9" s="6" t="str">
        <x:f>IFERROR(VLOOKUP(C9,Metric_Dictionary!$A:$I,9,FALSE),"")</x:f>
        <x:v>Percent of expenses directed to programs.</x:v>
      </x:c>
      <x:c r="I9" s="6" t="str">
        <x:f>IFERROR(VLOOKUP(C9,Metric_Dictionary!$A:$I,5,FALSE),"")</x:f>
        <x:v>fa-bullseye</x:v>
      </x:c>
      <x:c r="J9" s="6" t="n">
        <x:f>IFERROR(VLOOKUP(C9,Metric_Dictionary!$A:$I,6,FALSE),"")</x:f>
        <x:v>2</x:v>
      </x:c>
      <x:c r="K9" s="6" t="str">
        <x:f>IFERROR(VLOOKUP(C9,Metric_Dictionary!$A:$I,7,FALSE),"")</x:f>
        <x:v>Y</x:v>
      </x:c>
    </x:row>
    <x:row r="10">
      <x:c r="A10" s="8" t="n">
        <x:f>Dashboard_Values!A11</x:f>
        <x:v>45657</x:v>
      </x:c>
      <x:c r="B10" s="6" t="str">
        <x:f>IFERROR(VLOOKUP(C10,Metric_Dictionary!$A:$I,2,FALSE),"")</x:f>
        <x:v>financial</x:v>
      </x:c>
      <x:c r="C10" s="6" t="str">
        <x:f>Dashboard_Values!B11</x:f>
        <x:v>revenue_diversity</x:v>
      </x:c>
      <x:c r="D10" s="6" t="str">
        <x:f>IFERROR(VLOOKUP(C10,Metric_Dictionary!$A:$I,3,FALSE),"")</x:f>
        <x:v>Revenue Diversity</x:v>
      </x:c>
      <x:c r="E10" s="6" t="n">
        <x:f>Dashboard_Values!C11</x:f>
        <x:v>3</x:v>
      </x:c>
      <x:c r="F10" s="6" t="n">
        <x:f>IFERROR(VLOOKUP(C10,Metric_Dictionary!$A:$I,8,FALSE),"")</x:f>
        <x:v>15</x:v>
      </x:c>
      <x:c r="G10" s="6" t="str">
        <x:f>IFERROR(VLOOKUP(C10,Metric_Dictionary!$A:$I,4,FALSE),"")</x:f>
        <x:v>number</x:v>
      </x:c>
      <x:c r="H10" s="6" t="str">
        <x:f>IFERROR(VLOOKUP(C10,Metric_Dictionary!$A:$I,9,FALSE),"")</x:f>
        <x:v>Number of meaningful revenue streams.</x:v>
      </x:c>
      <x:c r="I10" s="6" t="str">
        <x:f>IFERROR(VLOOKUP(C10,Metric_Dictionary!$A:$I,5,FALSE),"")</x:f>
        <x:v>fa-chart-pie</x:v>
      </x:c>
      <x:c r="J10" s="6" t="n">
        <x:f>IFERROR(VLOOKUP(C10,Metric_Dictionary!$A:$I,6,FALSE),"")</x:f>
        <x:v>3</x:v>
      </x:c>
      <x:c r="K10" s="6" t="str">
        <x:f>IFERROR(VLOOKUP(C10,Metric_Dictionary!$A:$I,7,FALSE),"")</x:f>
        <x:v>Y</x:v>
      </x:c>
    </x:row>
    <x:row r="11">
      <x:c r="A11" s="8" t="n">
        <x:f>Dashboard_Values!A12</x:f>
        <x:v>45657</x:v>
      </x:c>
      <x:c r="B11" s="6" t="str">
        <x:f>IFERROR(VLOOKUP(C11,Metric_Dictionary!$A:$I,2,FALSE),"")</x:f>
        <x:v>sustainability</x:v>
      </x:c>
      <x:c r="C11" s="6" t="str">
        <x:f>Dashboard_Values!B12</x:f>
        <x:v>non_local_participation</x:v>
      </x:c>
      <x:c r="D11" s="6" t="str">
        <x:f>IFERROR(VLOOKUP(C11,Metric_Dictionary!$A:$I,3,FALSE),"")</x:f>
        <x:v>Non-Local Participation</x:v>
      </x:c>
      <x:c r="E11" s="6" t="n">
        <x:f>Dashboard_Values!C12</x:f>
        <x:v>44</x:v>
      </x:c>
      <x:c r="F11" s="6" t="n">
        <x:f>IFERROR(VLOOKUP(C11,Metric_Dictionary!$A:$I,8,FALSE),"")</x:f>
        <x:v>65</x:v>
      </x:c>
      <x:c r="G11" s="6" t="str">
        <x:f>IFERROR(VLOOKUP(C11,Metric_Dictionary!$A:$I,4,FALSE),"")</x:f>
        <x:v>percent</x:v>
      </x:c>
      <x:c r="H11" s="6" t="str">
        <x:f>IFERROR(VLOOKUP(C11,Metric_Dictionary!$A:$I,9,FALSE),"")</x:f>
        <x:v>Participation from outside the local market.</x:v>
      </x:c>
      <x:c r="I11" s="6" t="str">
        <x:f>IFERROR(VLOOKUP(C11,Metric_Dictionary!$A:$I,5,FALSE),"")</x:f>
        <x:v>fa-map</x:v>
      </x:c>
      <x:c r="J11" s="6" t="n">
        <x:f>IFERROR(VLOOKUP(C11,Metric_Dictionary!$A:$I,6,FALSE),"")</x:f>
        <x:v>1</x:v>
      </x:c>
      <x:c r="K11" s="6" t="str">
        <x:f>IFERROR(VLOOKUP(C11,Metric_Dictionary!$A:$I,7,FALSE),"")</x:f>
        <x:v>Y</x:v>
      </x:c>
    </x:row>
    <x:row r="12">
      <x:c r="A12" s="8" t="n">
        <x:f>Dashboard_Values!A13</x:f>
        <x:v>45657</x:v>
      </x:c>
      <x:c r="B12" s="6" t="str">
        <x:f>IFERROR(VLOOKUP(C12,Metric_Dictionary!$A:$I,2,FALSE),"")</x:f>
        <x:v>sustainability</x:v>
      </x:c>
      <x:c r="C12" s="6" t="str">
        <x:f>Dashboard_Values!B13</x:f>
        <x:v>outreach_participation</x:v>
      </x:c>
      <x:c r="D12" s="6" t="str">
        <x:f>IFERROR(VLOOKUP(C12,Metric_Dictionary!$A:$I,3,FALSE),"")</x:f>
        <x:v>Outreach Participation</x:v>
      </x:c>
      <x:c r="E12" s="6" t="n">
        <x:f>Dashboard_Values!C13</x:f>
        <x:v>8</x:v>
      </x:c>
      <x:c r="F12" s="6" t="n">
        <x:f>IFERROR(VLOOKUP(C12,Metric_Dictionary!$A:$I,8,FALSE),"")</x:f>
        <x:v>18</x:v>
      </x:c>
      <x:c r="G12" s="6" t="str">
        <x:f>IFERROR(VLOOKUP(C12,Metric_Dictionary!$A:$I,4,FALSE),"")</x:f>
        <x:v>percent</x:v>
      </x:c>
      <x:c r="H12" s="6" t="str">
        <x:f>IFERROR(VLOOKUP(C12,Metric_Dictionary!$A:$I,9,FALSE),"")</x:f>
        <x:v>Offsite and outreach engagement share.</x:v>
      </x:c>
      <x:c r="I12" s="6" t="str">
        <x:f>IFERROR(VLOOKUP(C12,Metric_Dictionary!$A:$I,5,FALSE),"")</x:f>
        <x:v>fa-truck</x:v>
      </x:c>
      <x:c r="J12" s="6" t="n">
        <x:f>IFERROR(VLOOKUP(C12,Metric_Dictionary!$A:$I,6,FALSE),"")</x:f>
        <x:v>2</x:v>
      </x:c>
      <x:c r="K12" s="6" t="str">
        <x:f>IFERROR(VLOOKUP(C12,Metric_Dictionary!$A:$I,7,FALSE),"")</x:f>
        <x:v>Y</x:v>
      </x:c>
    </x:row>
    <x:row r="13">
      <x:c r="A13" s="8" t="n">
        <x:f>Dashboard_Values!A14</x:f>
        <x:v>45657</x:v>
      </x:c>
      <x:c r="B13" s="6" t="str">
        <x:f>IFERROR(VLOOKUP(C13,Metric_Dictionary!$A:$I,2,FALSE),"")</x:f>
        <x:v>sustainability</x:v>
      </x:c>
      <x:c r="C13" s="6" t="str">
        <x:f>Dashboard_Values!B14</x:f>
        <x:v>strategic_partnerships</x:v>
      </x:c>
      <x:c r="D13" s="6" t="str">
        <x:f>IFERROR(VLOOKUP(C13,Metric_Dictionary!$A:$I,3,FALSE),"")</x:f>
        <x:v>Strategic Partnerships</x:v>
      </x:c>
      <x:c r="E13" s="6" t="n">
        <x:f>Dashboard_Values!C14</x:f>
        <x:v>6</x:v>
      </x:c>
      <x:c r="F13" s="6" t="n">
        <x:f>IFERROR(VLOOKUP(C13,Metric_Dictionary!$A:$I,8,FALSE),"")</x:f>
        <x:v>12</x:v>
      </x:c>
      <x:c r="G13" s="6" t="str">
        <x:f>IFERROR(VLOOKUP(C13,Metric_Dictionary!$A:$I,4,FALSE),"")</x:f>
        <x:v>number</x:v>
      </x:c>
      <x:c r="H13" s="6" t="str">
        <x:f>IFERROR(VLOOKUP(C13,Metric_Dictionary!$A:$I,9,FALSE),"")</x:f>
        <x:v>Active or emerging strategic partnerships.</x:v>
      </x:c>
      <x:c r="I13" s="6" t="str">
        <x:f>IFERROR(VLOOKUP(C13,Metric_Dictionary!$A:$I,5,FALSE),"")</x:f>
        <x:v>fa-handshake</x:v>
      </x:c>
      <x:c r="J13" s="6" t="n">
        <x:f>IFERROR(VLOOKUP(C13,Metric_Dictionary!$A:$I,6,FALSE),"")</x:f>
        <x:v>3</x:v>
      </x:c>
      <x:c r="K13" s="6" t="str">
        <x:f>IFERROR(VLOOKUP(C13,Metric_Dictionary!$A:$I,7,FALSE),"")</x:f>
        <x:v>Y</x:v>
      </x:c>
    </x:row>
    <x:row r="14">
      <x:c r="A14" s="8" t="n">
        <x:f>Dashboard_Values!A15</x:f>
        <x:v>46022</x:v>
      </x:c>
      <x:c r="B14" s="6" t="str">
        <x:f>IFERROR(VLOOKUP(C14,Metric_Dictionary!$A:$I,2,FALSE),"")</x:f>
        <x:v>system</x:v>
      </x:c>
      <x:c r="C14" s="6" t="str">
        <x:f>Dashboard_Values!B15</x:f>
        <x:v>overall_health_score</x:v>
      </x:c>
      <x:c r="D14" s="6" t="str">
        <x:f>IFERROR(VLOOKUP(C14,Metric_Dictionary!$A:$I,3,FALSE),"")</x:f>
        <x:v>Overall Organizational Health</x:v>
      </x:c>
      <x:c r="E14" s="6" t="n">
        <x:f>Dashboard_Values!C15</x:f>
        <x:v>78</x:v>
      </x:c>
      <x:c r="F14" s="6" t="n">
        <x:f>IFERROR(VLOOKUP(C14,Metric_Dictionary!$A:$I,8,FALSE),"")</x:f>
        <x:v>85</x:v>
      </x:c>
      <x:c r="G14" s="6" t="str">
        <x:f>IFERROR(VLOOKUP(C14,Metric_Dictionary!$A:$I,4,FALSE),"")</x:f>
        <x:v>score</x:v>
      </x:c>
      <x:c r="H14" s="6" t="str">
        <x:f>IFERROR(VLOOKUP(C14,Metric_Dictionary!$A:$I,9,FALSE),"")</x:f>
        <x:v>Composite of mission, finance, and sustainability indicators.</x:v>
      </x:c>
      <x:c r="I14" s="6" t="str">
        <x:f>IFERROR(VLOOKUP(C14,Metric_Dictionary!$A:$I,5,FALSE),"")</x:f>
        <x:v>fa-gauge-high</x:v>
      </x:c>
      <x:c r="J14" s="6" t="n">
        <x:f>IFERROR(VLOOKUP(C14,Metric_Dictionary!$A:$I,6,FALSE),"")</x:f>
        <x:v>1</x:v>
      </x:c>
      <x:c r="K14" s="6" t="str">
        <x:f>IFERROR(VLOOKUP(C14,Metric_Dictionary!$A:$I,7,FALSE),"")</x:f>
        <x:v>Y</x:v>
      </x:c>
    </x:row>
    <x:row r="15">
      <x:c r="A15" s="8" t="n">
        <x:f>Dashboard_Values!A16</x:f>
        <x:v>46022</x:v>
      </x:c>
      <x:c r="B15" s="6" t="str">
        <x:f>IFERROR(VLOOKUP(C15,Metric_Dictionary!$A:$I,2,FALSE),"")</x:f>
        <x:v>system</x:v>
      </x:c>
      <x:c r="C15" s="6" t="str">
        <x:f>Dashboard_Values!B16</x:f>
        <x:v>mission_index</x:v>
      </x:c>
      <x:c r="D15" s="6" t="str">
        <x:f>IFERROR(VLOOKUP(C15,Metric_Dictionary!$A:$I,3,FALSE),"")</x:f>
        <x:v>Mission Impact Index</x:v>
      </x:c>
      <x:c r="E15" s="6" t="n">
        <x:f>Dashboard_Values!C16</x:f>
        <x:v>84</x:v>
      </x:c>
      <x:c r="F15" s="6" t="n">
        <x:f>IFERROR(VLOOKUP(C15,Metric_Dictionary!$A:$I,8,FALSE),"")</x:f>
        <x:v>88</x:v>
      </x:c>
      <x:c r="G15" s="6" t="str">
        <x:f>IFERROR(VLOOKUP(C15,Metric_Dictionary!$A:$I,4,FALSE),"")</x:f>
        <x:v>score</x:v>
      </x:c>
      <x:c r="H15" s="6" t="str">
        <x:f>IFERROR(VLOOKUP(C15,Metric_Dictionary!$A:$I,9,FALSE),"")</x:f>
        <x:v>Are we achieving what we exist to do?</x:v>
      </x:c>
      <x:c r="I15" s="6" t="str">
        <x:f>IFERROR(VLOOKUP(C15,Metric_Dictionary!$A:$I,5,FALSE),"")</x:f>
        <x:v>fa-bullseye</x:v>
      </x:c>
      <x:c r="J15" s="6" t="n">
        <x:f>IFERROR(VLOOKUP(C15,Metric_Dictionary!$A:$I,6,FALSE),"")</x:f>
        <x:v>2</x:v>
      </x:c>
      <x:c r="K15" s="6" t="str">
        <x:f>IFERROR(VLOOKUP(C15,Metric_Dictionary!$A:$I,7,FALSE),"")</x:f>
        <x:v>Y</x:v>
      </x:c>
    </x:row>
    <x:row r="16">
      <x:c r="A16" s="8" t="n">
        <x:f>Dashboard_Values!A17</x:f>
        <x:v>46022</x:v>
      </x:c>
      <x:c r="B16" s="6" t="str">
        <x:f>IFERROR(VLOOKUP(C16,Metric_Dictionary!$A:$I,2,FALSE),"")</x:f>
        <x:v>system</x:v>
      </x:c>
      <x:c r="C16" s="6" t="str">
        <x:f>Dashboard_Values!B17</x:f>
        <x:v>financial_index</x:v>
      </x:c>
      <x:c r="D16" s="6" t="str">
        <x:f>IFERROR(VLOOKUP(C16,Metric_Dictionary!$A:$I,3,FALSE),"")</x:f>
        <x:v>Financial Strength Index</x:v>
      </x:c>
      <x:c r="E16" s="6" t="n">
        <x:f>Dashboard_Values!C17</x:f>
        <x:v>78</x:v>
      </x:c>
      <x:c r="F16" s="6" t="n">
        <x:f>IFERROR(VLOOKUP(C16,Metric_Dictionary!$A:$I,8,FALSE),"")</x:f>
        <x:v>82</x:v>
      </x:c>
      <x:c r="G16" s="6" t="str">
        <x:f>IFERROR(VLOOKUP(C16,Metric_Dictionary!$A:$I,4,FALSE),"")</x:f>
        <x:v>score</x:v>
      </x:c>
      <x:c r="H16" s="6" t="str">
        <x:f>IFERROR(VLOOKUP(C16,Metric_Dictionary!$A:$I,9,FALSE),"")</x:f>
        <x:v>Are we operating like a healthy organization?</x:v>
      </x:c>
      <x:c r="I16" s="6" t="str">
        <x:f>IFERROR(VLOOKUP(C16,Metric_Dictionary!$A:$I,5,FALSE),"")</x:f>
        <x:v>fa-chart-line</x:v>
      </x:c>
      <x:c r="J16" s="6" t="n">
        <x:f>IFERROR(VLOOKUP(C16,Metric_Dictionary!$A:$I,6,FALSE),"")</x:f>
        <x:v>3</x:v>
      </x:c>
      <x:c r="K16" s="6" t="str">
        <x:f>IFERROR(VLOOKUP(C16,Metric_Dictionary!$A:$I,7,FALSE),"")</x:f>
        <x:v>Y</x:v>
      </x:c>
    </x:row>
    <x:row r="17">
      <x:c r="A17" s="8" t="n">
        <x:f>Dashboard_Values!A18</x:f>
        <x:v>46022</x:v>
      </x:c>
      <x:c r="B17" s="6" t="str">
        <x:f>IFERROR(VLOOKUP(C17,Metric_Dictionary!$A:$I,2,FALSE),"")</x:f>
        <x:v>system</x:v>
      </x:c>
      <x:c r="C17" s="6" t="str">
        <x:f>Dashboard_Values!B18</x:f>
        <x:v>sustainability_index</x:v>
      </x:c>
      <x:c r="D17" s="6" t="str">
        <x:f>IFERROR(VLOOKUP(C17,Metric_Dictionary!$A:$I,3,FALSE),"")</x:f>
        <x:v>Sustainability Index</x:v>
      </x:c>
      <x:c r="E17" s="6" t="n">
        <x:f>Dashboard_Values!C18</x:f>
        <x:v>72</x:v>
      </x:c>
      <x:c r="F17" s="6" t="n">
        <x:f>IFERROR(VLOOKUP(C17,Metric_Dictionary!$A:$I,8,FALSE),"")</x:f>
        <x:v>80</x:v>
      </x:c>
      <x:c r="G17" s="6" t="str">
        <x:f>IFERROR(VLOOKUP(C17,Metric_Dictionary!$A:$I,4,FALSE),"")</x:f>
        <x:v>score</x:v>
      </x:c>
      <x:c r="H17" s="6" t="str">
        <x:f>IFERROR(VLOOKUP(C17,Metric_Dictionary!$A:$I,9,FALSE),"")</x:f>
        <x:v>Will we remain relevant and grow?</x:v>
      </x:c>
      <x:c r="I17" s="6" t="str">
        <x:f>IFERROR(VLOOKUP(C17,Metric_Dictionary!$A:$I,5,FALSE),"")</x:f>
        <x:v>fa-seedling</x:v>
      </x:c>
      <x:c r="J17" s="6" t="n">
        <x:f>IFERROR(VLOOKUP(C17,Metric_Dictionary!$A:$I,6,FALSE),"")</x:f>
        <x:v>4</x:v>
      </x:c>
      <x:c r="K17" s="6" t="str">
        <x:f>IFERROR(VLOOKUP(C17,Metric_Dictionary!$A:$I,7,FALSE),"")</x:f>
        <x:v>Y</x:v>
      </x:c>
    </x:row>
    <x:row r="18">
      <x:c r="A18" s="8" t="n">
        <x:f>Dashboard_Values!A19</x:f>
        <x:v>46022</x:v>
      </x:c>
      <x:c r="B18" s="6" t="str">
        <x:f>IFERROR(VLOOKUP(C18,Metric_Dictionary!$A:$I,2,FALSE),"")</x:f>
        <x:v>mission</x:v>
      </x:c>
      <x:c r="C18" s="6" t="str">
        <x:f>Dashboard_Values!B19</x:f>
        <x:v>students_impacted</x:v>
      </x:c>
      <x:c r="D18" s="6" t="str">
        <x:f>IFERROR(VLOOKUP(C18,Metric_Dictionary!$A:$I,3,FALSE),"")</x:f>
        <x:v>Households Reached</x:v>
      </x:c>
      <x:c r="E18" s="6" t="n">
        <x:f>Dashboard_Values!C19</x:f>
        <x:v>15</x:v>
      </x:c>
      <x:c r="F18" s="6" t="n">
        <x:f>IFERROR(VLOOKUP(C18,Metric_Dictionary!$A:$I,8,FALSE),"")</x:f>
        <x:v>31</x:v>
      </x:c>
      <x:c r="G18" s="6" t="str">
        <x:f>IFERROR(VLOOKUP(C18,Metric_Dictionary!$A:$I,4,FALSE),"")</x:f>
        <x:v>percent</x:v>
      </x:c>
      <x:c r="H18" s="6" t="str">
        <x:f>IFERROR(VLOOKUP(C18,Metric_Dictionary!$A:$I,9,FALSE),"")</x:f>
        <x:v>Percent of regional students served.</x:v>
      </x:c>
      <x:c r="I18" s="6" t="str">
        <x:f>IFERROR(VLOOKUP(C18,Metric_Dictionary!$A:$I,5,FALSE),"")</x:f>
        <x:v>fa-user-graduate</x:v>
      </x:c>
      <x:c r="J18" s="6" t="n">
        <x:f>IFERROR(VLOOKUP(C18,Metric_Dictionary!$A:$I,6,FALSE),"")</x:f>
        <x:v>1</x:v>
      </x:c>
      <x:c r="K18" s="6" t="str">
        <x:f>IFERROR(VLOOKUP(C18,Metric_Dictionary!$A:$I,7,FALSE),"")</x:f>
        <x:v>Y</x:v>
      </x:c>
    </x:row>
    <x:row r="19">
      <x:c r="A19" s="8" t="n">
        <x:f>Dashboard_Values!A20</x:f>
        <x:v>46022</x:v>
      </x:c>
      <x:c r="B19" s="6" t="str">
        <x:f>IFERROR(VLOOKUP(C19,Metric_Dictionary!$A:$I,2,FALSE),"")</x:f>
        <x:v>mission</x:v>
      </x:c>
      <x:c r="C19" s="6" t="str">
        <x:f>Dashboard_Values!B20</x:f>
        <x:v>population_reached</x:v>
      </x:c>
      <x:c r="D19" s="6" t="str">
        <x:f>IFERROR(VLOOKUP(C19,Metric_Dictionary!$A:$I,3,FALSE),"")</x:f>
        <x:v>Population Reached</x:v>
      </x:c>
      <x:c r="E19" s="6" t="n">
        <x:f>Dashboard_Values!C20</x:f>
        <x:v>97000</x:v>
      </x:c>
      <x:c r="F19" s="6" t="n">
        <x:f>IFERROR(VLOOKUP(C19,Metric_Dictionary!$A:$I,8,FALSE),"")</x:f>
        <x:v>101000</x:v>
      </x:c>
      <x:c r="G19" s="6" t="str">
        <x:f>IFERROR(VLOOKUP(C19,Metric_Dictionary!$A:$I,4,FALSE),"")</x:f>
        <x:v>number</x:v>
      </x:c>
      <x:c r="H19" s="6" t="str">
        <x:f>IFERROR(VLOOKUP(C19,Metric_Dictionary!$A:$I,9,FALSE),"")</x:f>
        <x:v>Annual engagements.</x:v>
      </x:c>
      <x:c r="I19" s="6" t="str">
        <x:f>IFERROR(VLOOKUP(C19,Metric_Dictionary!$A:$I,5,FALSE),"")</x:f>
        <x:v>fa-people-group</x:v>
      </x:c>
      <x:c r="J19" s="6" t="n">
        <x:f>IFERROR(VLOOKUP(C19,Metric_Dictionary!$A:$I,6,FALSE),"")</x:f>
        <x:v>2</x:v>
      </x:c>
      <x:c r="K19" s="6" t="str">
        <x:f>IFERROR(VLOOKUP(C19,Metric_Dictionary!$A:$I,7,FALSE),"")</x:f>
        <x:v>Y</x:v>
      </x:c>
    </x:row>
    <x:row r="20">
      <x:c r="A20" s="8" t="n">
        <x:f>Dashboard_Values!A21</x:f>
        <x:v>46022</x:v>
      </x:c>
      <x:c r="B20" s="6" t="str">
        <x:f>IFERROR(VLOOKUP(C20,Metric_Dictionary!$A:$I,2,FALSE),"")</x:f>
        <x:v>mission</x:v>
      </x:c>
      <x:c r="C20" s="6" t="str">
        <x:f>Dashboard_Values!B21</x:f>
        <x:v>schools_reached</x:v>
      </x:c>
      <x:c r="D20" s="6" t="str">
        <x:f>IFERROR(VLOOKUP(C20,Metric_Dictionary!$A:$I,3,FALSE),"")</x:f>
        <x:v>Schools Reached</x:v>
      </x:c>
      <x:c r="E20" s="6" t="n">
        <x:f>Dashboard_Values!C21</x:f>
        <x:v>37</x:v>
      </x:c>
      <x:c r="F20" s="6" t="n">
        <x:f>IFERROR(VLOOKUP(C20,Metric_Dictionary!$A:$I,8,FALSE),"")</x:f>
        <x:v>50</x:v>
      </x:c>
      <x:c r="G20" s="6" t="str">
        <x:f>IFERROR(VLOOKUP(C20,Metric_Dictionary!$A:$I,4,FALSE),"")</x:f>
        <x:v>percent</x:v>
      </x:c>
      <x:c r="H20" s="6" t="str">
        <x:f>IFERROR(VLOOKUP(C20,Metric_Dictionary!$A:$I,9,FALSE),"")</x:f>
        <x:v>Percent of North Dakota schools served.</x:v>
      </x:c>
      <x:c r="I20" s="6" t="str">
        <x:f>IFERROR(VLOOKUP(C20,Metric_Dictionary!$A:$I,5,FALSE),"")</x:f>
        <x:v>fa-school</x:v>
      </x:c>
      <x:c r="J20" s="6" t="n">
        <x:f>IFERROR(VLOOKUP(C20,Metric_Dictionary!$A:$I,6,FALSE),"")</x:f>
        <x:v>3</x:v>
      </x:c>
      <x:c r="K20" s="6" t="str">
        <x:f>IFERROR(VLOOKUP(C20,Metric_Dictionary!$A:$I,7,FALSE),"")</x:f>
        <x:v>Y</x:v>
      </x:c>
    </x:row>
    <x:row r="21" ht="15.75" customHeight="1">
      <x:c r="A21" s="8" t="n">
        <x:f>Dashboard_Values!A22</x:f>
        <x:v>46022</x:v>
      </x:c>
      <x:c r="B21" s="6" t="str">
        <x:f>IFERROR(VLOOKUP(C21,Metric_Dictionary!$A:$I,2,FALSE),"")</x:f>
        <x:v>financial</x:v>
      </x:c>
      <x:c r="C21" s="6" t="str">
        <x:f>Dashboard_Values!B22</x:f>
        <x:v>earned_revenue_ratio</x:v>
      </x:c>
      <x:c r="D21" s="6" t="str">
        <x:f>IFERROR(VLOOKUP(C21,Metric_Dictionary!$A:$I,3,FALSE),"")</x:f>
        <x:v>Earned Revenue Ratio</x:v>
      </x:c>
      <x:c r="E21" s="6" t="n">
        <x:f>Dashboard_Values!C22</x:f>
        <x:v>44</x:v>
      </x:c>
      <x:c r="F21" s="6" t="n">
        <x:f>IFERROR(VLOOKUP(C21,Metric_Dictionary!$A:$I,8,FALSE),"")</x:f>
        <x:v>70</x:v>
      </x:c>
      <x:c r="G21" s="6" t="str">
        <x:f>IFERROR(VLOOKUP(C21,Metric_Dictionary!$A:$I,4,FALSE),"")</x:f>
        <x:v>percent</x:v>
      </x:c>
      <x:c r="H21" s="6" t="str">
        <x:f>IFERROR(VLOOKUP(C21,Metric_Dictionary!$A:$I,9,FALSE),"")</x:f>
        <x:v>Earned revenue share.</x:v>
      </x:c>
      <x:c r="I21" s="6" t="str">
        <x:f>IFERROR(VLOOKUP(C21,Metric_Dictionary!$A:$I,5,FALSE),"")</x:f>
        <x:v>fa-hand-holding-dollar</x:v>
      </x:c>
      <x:c r="J21" s="6" t="n">
        <x:f>IFERROR(VLOOKUP(C21,Metric_Dictionary!$A:$I,6,FALSE),"")</x:f>
        <x:v>1</x:v>
      </x:c>
      <x:c r="K21" s="6" t="str">
        <x:f>IFERROR(VLOOKUP(C21,Metric_Dictionary!$A:$I,7,FALSE),"")</x:f>
        <x:v>Y</x:v>
      </x:c>
    </x:row>
    <x:row r="22" ht="15.75" customHeight="1">
      <x:c r="A22" s="8" t="n">
        <x:f>Dashboard_Values!A23</x:f>
        <x:v>46022</x:v>
      </x:c>
      <x:c r="B22" s="6" t="str">
        <x:f>IFERROR(VLOOKUP(C22,Metric_Dictionary!$A:$I,2,FALSE),"")</x:f>
        <x:v>financial</x:v>
      </x:c>
      <x:c r="C22" s="6" t="str">
        <x:f>Dashboard_Values!B23</x:f>
        <x:v>program_spending</x:v>
      </x:c>
      <x:c r="D22" s="6" t="str">
        <x:f>IFERROR(VLOOKUP(C22,Metric_Dictionary!$A:$I,3,FALSE),"")</x:f>
        <x:v>Program Spending</x:v>
      </x:c>
      <x:c r="E22" s="6" t="n">
        <x:f>Dashboard_Values!C23</x:f>
        <x:v>76</x:v>
      </x:c>
      <x:c r="F22" s="6" t="n">
        <x:f>IFERROR(VLOOKUP(C22,Metric_Dictionary!$A:$I,8,FALSE),"")</x:f>
        <x:v>85</x:v>
      </x:c>
      <x:c r="G22" s="6" t="str">
        <x:f>IFERROR(VLOOKUP(C22,Metric_Dictionary!$A:$I,4,FALSE),"")</x:f>
        <x:v>percent</x:v>
      </x:c>
      <x:c r="H22" s="6" t="str">
        <x:f>IFERROR(VLOOKUP(C22,Metric_Dictionary!$A:$I,9,FALSE),"")</x:f>
        <x:v>Percent of expenses directed to programs.</x:v>
      </x:c>
      <x:c r="I22" s="6" t="str">
        <x:f>IFERROR(VLOOKUP(C22,Metric_Dictionary!$A:$I,5,FALSE),"")</x:f>
        <x:v>fa-bullseye</x:v>
      </x:c>
      <x:c r="J22" s="6" t="n">
        <x:f>IFERROR(VLOOKUP(C22,Metric_Dictionary!$A:$I,6,FALSE),"")</x:f>
        <x:v>2</x:v>
      </x:c>
      <x:c r="K22" s="6" t="str">
        <x:f>IFERROR(VLOOKUP(C22,Metric_Dictionary!$A:$I,7,FALSE),"")</x:f>
        <x:v>Y</x:v>
      </x:c>
    </x:row>
    <x:row r="23" ht="15.75" customHeight="1">
      <x:c r="A23" s="8" t="n">
        <x:f>Dashboard_Values!A24</x:f>
        <x:v>46022</x:v>
      </x:c>
      <x:c r="B23" s="6" t="str">
        <x:f>IFERROR(VLOOKUP(C23,Metric_Dictionary!$A:$I,2,FALSE),"")</x:f>
        <x:v>financial</x:v>
      </x:c>
      <x:c r="C23" s="6" t="str">
        <x:f>Dashboard_Values!B24</x:f>
        <x:v>revenue_diversity</x:v>
      </x:c>
      <x:c r="D23" s="6" t="str">
        <x:f>IFERROR(VLOOKUP(C23,Metric_Dictionary!$A:$I,3,FALSE),"")</x:f>
        <x:v>Revenue Diversity</x:v>
      </x:c>
      <x:c r="E23" s="6" t="n">
        <x:f>Dashboard_Values!C24</x:f>
        <x:v>4</x:v>
      </x:c>
      <x:c r="F23" s="6" t="n">
        <x:f>IFERROR(VLOOKUP(C23,Metric_Dictionary!$A:$I,8,FALSE),"")</x:f>
        <x:v>15</x:v>
      </x:c>
      <x:c r="G23" s="6" t="str">
        <x:f>IFERROR(VLOOKUP(C23,Metric_Dictionary!$A:$I,4,FALSE),"")</x:f>
        <x:v>number</x:v>
      </x:c>
      <x:c r="H23" s="6" t="str">
        <x:f>IFERROR(VLOOKUP(C23,Metric_Dictionary!$A:$I,9,FALSE),"")</x:f>
        <x:v>Number of meaningful revenue streams.</x:v>
      </x:c>
      <x:c r="I23" s="6" t="str">
        <x:f>IFERROR(VLOOKUP(C23,Metric_Dictionary!$A:$I,5,FALSE),"")</x:f>
        <x:v>fa-chart-pie</x:v>
      </x:c>
      <x:c r="J23" s="6" t="n">
        <x:f>IFERROR(VLOOKUP(C23,Metric_Dictionary!$A:$I,6,FALSE),"")</x:f>
        <x:v>3</x:v>
      </x:c>
      <x:c r="K23" s="6" t="str">
        <x:f>IFERROR(VLOOKUP(C23,Metric_Dictionary!$A:$I,7,FALSE),"")</x:f>
        <x:v>Y</x:v>
      </x:c>
    </x:row>
    <x:row r="24" ht="15.75" customHeight="1">
      <x:c r="A24" s="8" t="n">
        <x:f>Dashboard_Values!A25</x:f>
        <x:v>46022</x:v>
      </x:c>
      <x:c r="B24" s="6" t="str">
        <x:f>IFERROR(VLOOKUP(C24,Metric_Dictionary!$A:$I,2,FALSE),"")</x:f>
        <x:v>sustainability</x:v>
      </x:c>
      <x:c r="C24" s="6" t="str">
        <x:f>Dashboard_Values!B25</x:f>
        <x:v>non_local_participation</x:v>
      </x:c>
      <x:c r="D24" s="6" t="str">
        <x:f>IFERROR(VLOOKUP(C24,Metric_Dictionary!$A:$I,3,FALSE),"")</x:f>
        <x:v>Non-Local Participation</x:v>
      </x:c>
      <x:c r="E24" s="6" t="n">
        <x:f>Dashboard_Values!C25</x:f>
        <x:v>50</x:v>
      </x:c>
      <x:c r="F24" s="6" t="n">
        <x:f>IFERROR(VLOOKUP(C24,Metric_Dictionary!$A:$I,8,FALSE),"")</x:f>
        <x:v>65</x:v>
      </x:c>
      <x:c r="G24" s="6" t="str">
        <x:f>IFERROR(VLOOKUP(C24,Metric_Dictionary!$A:$I,4,FALSE),"")</x:f>
        <x:v>percent</x:v>
      </x:c>
      <x:c r="H24" s="6" t="str">
        <x:f>IFERROR(VLOOKUP(C24,Metric_Dictionary!$A:$I,9,FALSE),"")</x:f>
        <x:v>Participation from outside the local market.</x:v>
      </x:c>
      <x:c r="I24" s="6" t="str">
        <x:f>IFERROR(VLOOKUP(C24,Metric_Dictionary!$A:$I,5,FALSE),"")</x:f>
        <x:v>fa-map</x:v>
      </x:c>
      <x:c r="J24" s="6" t="n">
        <x:f>IFERROR(VLOOKUP(C24,Metric_Dictionary!$A:$I,6,FALSE),"")</x:f>
        <x:v>1</x:v>
      </x:c>
      <x:c r="K24" s="6" t="str">
        <x:f>IFERROR(VLOOKUP(C24,Metric_Dictionary!$A:$I,7,FALSE),"")</x:f>
        <x:v>Y</x:v>
      </x:c>
    </x:row>
    <x:row r="25" ht="15.75" customHeight="1">
      <x:c r="A25" s="8" t="n">
        <x:f>Dashboard_Values!A26</x:f>
        <x:v>46022</x:v>
      </x:c>
      <x:c r="B25" s="6" t="str">
        <x:f>IFERROR(VLOOKUP(C25,Metric_Dictionary!$A:$I,2,FALSE),"")</x:f>
        <x:v>sustainability</x:v>
      </x:c>
      <x:c r="C25" s="6" t="str">
        <x:f>Dashboard_Values!B26</x:f>
        <x:v>outreach_participation</x:v>
      </x:c>
      <x:c r="D25" s="6" t="str">
        <x:f>IFERROR(VLOOKUP(C25,Metric_Dictionary!$A:$I,3,FALSE),"")</x:f>
        <x:v>Outreach Participation</x:v>
      </x:c>
      <x:c r="E25" s="6" t="n">
        <x:f>Dashboard_Values!C26</x:f>
        <x:v>10</x:v>
      </x:c>
      <x:c r="F25" s="6" t="n">
        <x:f>IFERROR(VLOOKUP(C25,Metric_Dictionary!$A:$I,8,FALSE),"")</x:f>
        <x:v>18</x:v>
      </x:c>
      <x:c r="G25" s="6" t="str">
        <x:f>IFERROR(VLOOKUP(C25,Metric_Dictionary!$A:$I,4,FALSE),"")</x:f>
        <x:v>percent</x:v>
      </x:c>
      <x:c r="H25" s="6" t="str">
        <x:f>IFERROR(VLOOKUP(C25,Metric_Dictionary!$A:$I,9,FALSE),"")</x:f>
        <x:v>Offsite and outreach engagement share.</x:v>
      </x:c>
      <x:c r="I25" s="6" t="str">
        <x:f>IFERROR(VLOOKUP(C25,Metric_Dictionary!$A:$I,5,FALSE),"")</x:f>
        <x:v>fa-truck</x:v>
      </x:c>
      <x:c r="J25" s="6" t="n">
        <x:f>IFERROR(VLOOKUP(C25,Metric_Dictionary!$A:$I,6,FALSE),"")</x:f>
        <x:v>2</x:v>
      </x:c>
      <x:c r="K25" s="6" t="str">
        <x:f>IFERROR(VLOOKUP(C25,Metric_Dictionary!$A:$I,7,FALSE),"")</x:f>
        <x:v>Y</x:v>
      </x:c>
    </x:row>
    <x:row r="26" ht="15.75" customHeight="1">
      <x:c r="A26" s="8" t="n">
        <x:f>Dashboard_Values!A27</x:f>
        <x:v>46022</x:v>
      </x:c>
      <x:c r="B26" s="6" t="str">
        <x:f>IFERROR(VLOOKUP(C26,Metric_Dictionary!$A:$I,2,FALSE),"")</x:f>
        <x:v>sustainability</x:v>
      </x:c>
      <x:c r="C26" s="6" t="str">
        <x:f>Dashboard_Values!B27</x:f>
        <x:v>strategic_partnerships</x:v>
      </x:c>
      <x:c r="D26" s="6" t="str">
        <x:f>IFERROR(VLOOKUP(C26,Metric_Dictionary!$A:$I,3,FALSE),"")</x:f>
        <x:v>Strategic Partnerships</x:v>
      </x:c>
      <x:c r="E26" s="6" t="n">
        <x:f>Dashboard_Values!C27</x:f>
        <x:v>8</x:v>
      </x:c>
      <x:c r="F26" s="6" t="n">
        <x:f>IFERROR(VLOOKUP(C26,Metric_Dictionary!$A:$I,8,FALSE),"")</x:f>
        <x:v>12</x:v>
      </x:c>
      <x:c r="G26" s="6" t="str">
        <x:f>IFERROR(VLOOKUP(C26,Metric_Dictionary!$A:$I,4,FALSE),"")</x:f>
        <x:v>number</x:v>
      </x:c>
      <x:c r="H26" s="6" t="str">
        <x:f>IFERROR(VLOOKUP(C26,Metric_Dictionary!$A:$I,9,FALSE),"")</x:f>
        <x:v>Active or emerging strategic partnerships.</x:v>
      </x:c>
      <x:c r="I26" s="6" t="str">
        <x:f>IFERROR(VLOOKUP(C26,Metric_Dictionary!$A:$I,5,FALSE),"")</x:f>
        <x:v>fa-handshake</x:v>
      </x:c>
      <x:c r="J26" s="6" t="n">
        <x:f>IFERROR(VLOOKUP(C26,Metric_Dictionary!$A:$I,6,FALSE),"")</x:f>
        <x:v>3</x:v>
      </x:c>
      <x:c r="K26" s="6" t="str">
        <x:f>IFERROR(VLOOKUP(C26,Metric_Dictionary!$A:$I,7,FALSE),"")</x:f>
        <x:v>Y</x:v>
      </x:c>
    </x:row>
    <x:row r="27" ht="15.75" customHeight="1">
      <x:c r="A27" s="8" t="n">
        <x:f>Dashboard_Values!A28</x:f>
        <x:v>46053</x:v>
      </x:c>
      <x:c r="B27" s="6" t="str">
        <x:f>IFERROR(VLOOKUP(C27,Metric_Dictionary!$A:$I,2,FALSE),"")</x:f>
        <x:v>mission</x:v>
      </x:c>
      <x:c r="C27" s="6" t="str">
        <x:f>Dashboard_Values!B28</x:f>
        <x:v>students_impacted</x:v>
      </x:c>
      <x:c r="D27" s="6" t="str">
        <x:f>IFERROR(VLOOKUP(C27,Metric_Dictionary!$A:$I,3,FALSE),"")</x:f>
        <x:v>Households Reached</x:v>
      </x:c>
      <x:c r="E27" s="6" t="n">
        <x:f>Dashboard_Values!C28</x:f>
        <x:v>17</x:v>
      </x:c>
      <x:c r="F27" s="6" t="n">
        <x:f>IFERROR(VLOOKUP(C27,Metric_Dictionary!$A:$I,8,FALSE),"")</x:f>
        <x:v>31</x:v>
      </x:c>
      <x:c r="G27" s="6" t="str">
        <x:f>IFERROR(VLOOKUP(C27,Metric_Dictionary!$A:$I,4,FALSE),"")</x:f>
        <x:v>percent</x:v>
      </x:c>
      <x:c r="H27" s="6" t="str">
        <x:f>IFERROR(VLOOKUP(C27,Metric_Dictionary!$A:$I,9,FALSE),"")</x:f>
        <x:v>Percent of regional students served.</x:v>
      </x:c>
      <x:c r="I27" s="6" t="str">
        <x:f>IFERROR(VLOOKUP(C27,Metric_Dictionary!$A:$I,5,FALSE),"")</x:f>
        <x:v>fa-user-graduate</x:v>
      </x:c>
      <x:c r="J27" s="6" t="n">
        <x:f>IFERROR(VLOOKUP(C27,Metric_Dictionary!$A:$I,6,FALSE),"")</x:f>
        <x:v>1</x:v>
      </x:c>
      <x:c r="K27" s="6" t="str">
        <x:f>IFERROR(VLOOKUP(C27,Metric_Dictionary!$A:$I,7,FALSE),"")</x:f>
        <x:v>Y</x:v>
      </x:c>
    </x:row>
    <x:row r="28" ht="15.75" customHeight="1">
      <x:c r="A28" s="8" t="n">
        <x:f>Dashboard_Values!A29</x:f>
        <x:v>46203</x:v>
      </x:c>
      <x:c r="B28" s="6" t="str">
        <x:f>IFERROR(VLOOKUP(C28,Metric_Dictionary!$A:$I,2,FALSE),"")</x:f>
        <x:v>system</x:v>
      </x:c>
      <x:c r="C28" s="6" t="str">
        <x:f>Dashboard_Values!B29</x:f>
        <x:v>overall_health_score</x:v>
      </x:c>
      <x:c r="D28" s="6" t="str">
        <x:f>IFERROR(VLOOKUP(C28,Metric_Dictionary!$A:$I,3,FALSE),"")</x:f>
        <x:v>Overall Organizational Health</x:v>
      </x:c>
      <x:c r="E28" s="6" t="n">
        <x:f>Dashboard_Values!C29</x:f>
        <x:v>80</x:v>
      </x:c>
      <x:c r="F28" s="6" t="n">
        <x:f>IFERROR(VLOOKUP(C28,Metric_Dictionary!$A:$I,8,FALSE),"")</x:f>
        <x:v>85</x:v>
      </x:c>
      <x:c r="G28" s="6" t="str">
        <x:f>IFERROR(VLOOKUP(C28,Metric_Dictionary!$A:$I,4,FALSE),"")</x:f>
        <x:v>score</x:v>
      </x:c>
      <x:c r="H28" s="6" t="str">
        <x:f>IFERROR(VLOOKUP(C28,Metric_Dictionary!$A:$I,9,FALSE),"")</x:f>
        <x:v>Composite of mission, finance, and sustainability indicators.</x:v>
      </x:c>
      <x:c r="I28" s="6" t="str">
        <x:f>IFERROR(VLOOKUP(C28,Metric_Dictionary!$A:$I,5,FALSE),"")</x:f>
        <x:v>fa-gauge-high</x:v>
      </x:c>
      <x:c r="J28" s="6" t="n">
        <x:f>IFERROR(VLOOKUP(C28,Metric_Dictionary!$A:$I,6,FALSE),"")</x:f>
        <x:v>1</x:v>
      </x:c>
      <x:c r="K28" s="6" t="str">
        <x:f>IFERROR(VLOOKUP(C28,Metric_Dictionary!$A:$I,7,FALSE),"")</x:f>
        <x:v>Y</x:v>
      </x:c>
    </x:row>
    <x:row r="29" ht="15.75" customHeight="1">
      <x:c r="A29" s="8" t="n">
        <x:f>Dashboard_Values!A30</x:f>
        <x:v>46203</x:v>
      </x:c>
      <x:c r="B29" s="6" t="str">
        <x:f>IFERROR(VLOOKUP(C29,Metric_Dictionary!$A:$I,2,FALSE),"")</x:f>
        <x:v>system</x:v>
      </x:c>
      <x:c r="C29" s="6" t="str">
        <x:f>Dashboard_Values!B30</x:f>
        <x:v>mission_index</x:v>
      </x:c>
      <x:c r="D29" s="6" t="str">
        <x:f>IFERROR(VLOOKUP(C29,Metric_Dictionary!$A:$I,3,FALSE),"")</x:f>
        <x:v>Mission Impact Index</x:v>
      </x:c>
      <x:c r="E29" s="6" t="n">
        <x:f>Dashboard_Values!C30</x:f>
        <x:v>84</x:v>
      </x:c>
      <x:c r="F29" s="6" t="n">
        <x:f>IFERROR(VLOOKUP(C29,Metric_Dictionary!$A:$I,8,FALSE),"")</x:f>
        <x:v>88</x:v>
      </x:c>
      <x:c r="G29" s="6" t="str">
        <x:f>IFERROR(VLOOKUP(C29,Metric_Dictionary!$A:$I,4,FALSE),"")</x:f>
        <x:v>score</x:v>
      </x:c>
      <x:c r="H29" s="6" t="str">
        <x:f>IFERROR(VLOOKUP(C29,Metric_Dictionary!$A:$I,9,FALSE),"")</x:f>
        <x:v>Are we achieving what we exist to do?</x:v>
      </x:c>
      <x:c r="I29" s="6" t="str">
        <x:f>IFERROR(VLOOKUP(C29,Metric_Dictionary!$A:$I,5,FALSE),"")</x:f>
        <x:v>fa-bullseye</x:v>
      </x:c>
      <x:c r="J29" s="6" t="n">
        <x:f>IFERROR(VLOOKUP(C29,Metric_Dictionary!$A:$I,6,FALSE),"")</x:f>
        <x:v>2</x:v>
      </x:c>
      <x:c r="K29" s="6" t="str">
        <x:f>IFERROR(VLOOKUP(C29,Metric_Dictionary!$A:$I,7,FALSE),"")</x:f>
        <x:v>Y</x:v>
      </x:c>
    </x:row>
    <x:row r="30" ht="15.75" customHeight="1">
      <x:c r="A30" s="8" t="n">
        <x:f>Dashboard_Values!A31</x:f>
        <x:v>46203</x:v>
      </x:c>
      <x:c r="B30" s="6" t="str">
        <x:f>IFERROR(VLOOKUP(C30,Metric_Dictionary!$A:$I,2,FALSE),"")</x:f>
        <x:v>system</x:v>
      </x:c>
      <x:c r="C30" s="6" t="str">
        <x:f>Dashboard_Values!B31</x:f>
        <x:v>financial_index</x:v>
      </x:c>
      <x:c r="D30" s="6" t="str">
        <x:f>IFERROR(VLOOKUP(C30,Metric_Dictionary!$A:$I,3,FALSE),"")</x:f>
        <x:v>Financial Strength Index</x:v>
      </x:c>
      <x:c r="E30" s="6" t="n">
        <x:f>Dashboard_Values!C31</x:f>
        <x:v>78</x:v>
      </x:c>
      <x:c r="F30" s="6" t="n">
        <x:f>IFERROR(VLOOKUP(C30,Metric_Dictionary!$A:$I,8,FALSE),"")</x:f>
        <x:v>82</x:v>
      </x:c>
      <x:c r="G30" s="6" t="str">
        <x:f>IFERROR(VLOOKUP(C30,Metric_Dictionary!$A:$I,4,FALSE),"")</x:f>
        <x:v>score</x:v>
      </x:c>
      <x:c r="H30" s="6" t="str">
        <x:f>IFERROR(VLOOKUP(C30,Metric_Dictionary!$A:$I,9,FALSE),"")</x:f>
        <x:v>Are we operating like a healthy organization?</x:v>
      </x:c>
      <x:c r="I30" s="6" t="str">
        <x:f>IFERROR(VLOOKUP(C30,Metric_Dictionary!$A:$I,5,FALSE),"")</x:f>
        <x:v>fa-chart-line</x:v>
      </x:c>
      <x:c r="J30" s="6" t="n">
        <x:f>IFERROR(VLOOKUP(C30,Metric_Dictionary!$A:$I,6,FALSE),"")</x:f>
        <x:v>3</x:v>
      </x:c>
      <x:c r="K30" s="6" t="str">
        <x:f>IFERROR(VLOOKUP(C30,Metric_Dictionary!$A:$I,7,FALSE),"")</x:f>
        <x:v>Y</x:v>
      </x:c>
    </x:row>
    <x:row r="31" ht="15.75" customHeight="1">
      <x:c r="A31" s="8" t="n">
        <x:f>Dashboard_Values!A32</x:f>
        <x:v>46203</x:v>
      </x:c>
      <x:c r="B31" s="6" t="str">
        <x:f>IFERROR(VLOOKUP(C31,Metric_Dictionary!$A:$I,2,FALSE),"")</x:f>
        <x:v>system</x:v>
      </x:c>
      <x:c r="C31" s="6" t="str">
        <x:f>Dashboard_Values!B32</x:f>
        <x:v>sustainability_index</x:v>
      </x:c>
      <x:c r="D31" s="6" t="str">
        <x:f>IFERROR(VLOOKUP(C31,Metric_Dictionary!$A:$I,3,FALSE),"")</x:f>
        <x:v>Sustainability Index</x:v>
      </x:c>
      <x:c r="E31" s="6" t="n">
        <x:f>Dashboard_Values!C32</x:f>
        <x:v>72</x:v>
      </x:c>
      <x:c r="F31" s="6" t="n">
        <x:f>IFERROR(VLOOKUP(C31,Metric_Dictionary!$A:$I,8,FALSE),"")</x:f>
        <x:v>80</x:v>
      </x:c>
      <x:c r="G31" s="6" t="str">
        <x:f>IFERROR(VLOOKUP(C31,Metric_Dictionary!$A:$I,4,FALSE),"")</x:f>
        <x:v>score</x:v>
      </x:c>
      <x:c r="H31" s="6" t="str">
        <x:f>IFERROR(VLOOKUP(C31,Metric_Dictionary!$A:$I,9,FALSE),"")</x:f>
        <x:v>Will we remain relevant and grow?</x:v>
      </x:c>
      <x:c r="I31" s="6" t="str">
        <x:f>IFERROR(VLOOKUP(C31,Metric_Dictionary!$A:$I,5,FALSE),"")</x:f>
        <x:v>fa-seedling</x:v>
      </x:c>
      <x:c r="J31" s="6" t="n">
        <x:f>IFERROR(VLOOKUP(C31,Metric_Dictionary!$A:$I,6,FALSE),"")</x:f>
        <x:v>4</x:v>
      </x:c>
      <x:c r="K31" s="6" t="str">
        <x:f>IFERROR(VLOOKUP(C31,Metric_Dictionary!$A:$I,7,FALSE),"")</x:f>
        <x:v>Y</x:v>
      </x:c>
    </x:row>
    <x:row r="32" ht="15.75" customHeight="1">
      <x:c r="A32" s="8" t="n">
        <x:f>Dashboard_Values!A33</x:f>
        <x:v>46203</x:v>
      </x:c>
      <x:c r="B32" s="6" t="str">
        <x:f>IFERROR(VLOOKUP(C32,Metric_Dictionary!$A:$I,2,FALSE),"")</x:f>
        <x:v>sustainability</x:v>
      </x:c>
      <x:c r="C32" s="6" t="str">
        <x:f>Dashboard_Values!B33</x:f>
        <x:v>non_local_participation</x:v>
      </x:c>
      <x:c r="D32" s="6" t="str">
        <x:f>IFERROR(VLOOKUP(C32,Metric_Dictionary!$A:$I,3,FALSE),"")</x:f>
        <x:v>Non-Local Participation</x:v>
      </x:c>
      <x:c r="E32" s="6" t="n">
        <x:f>Dashboard_Values!C33</x:f>
        <x:v>61</x:v>
      </x:c>
      <x:c r="F32" s="6" t="n">
        <x:f>IFERROR(VLOOKUP(C32,Metric_Dictionary!$A:$I,8,FALSE),"")</x:f>
        <x:v>65</x:v>
      </x:c>
      <x:c r="G32" s="6" t="str">
        <x:f>IFERROR(VLOOKUP(C32,Metric_Dictionary!$A:$I,4,FALSE),"")</x:f>
        <x:v>percent</x:v>
      </x:c>
      <x:c r="H32" s="6" t="str">
        <x:f>IFERROR(VLOOKUP(C32,Metric_Dictionary!$A:$I,9,FALSE),"")</x:f>
        <x:v>Participation from outside the local market.</x:v>
      </x:c>
      <x:c r="I32" s="6" t="str">
        <x:f>IFERROR(VLOOKUP(C32,Metric_Dictionary!$A:$I,5,FALSE),"")</x:f>
        <x:v>fa-map</x:v>
      </x:c>
      <x:c r="J32" s="6" t="n">
        <x:f>IFERROR(VLOOKUP(C32,Metric_Dictionary!$A:$I,6,FALSE),"")</x:f>
        <x:v>1</x:v>
      </x:c>
      <x:c r="K32" s="6" t="str">
        <x:f>IFERROR(VLOOKUP(C32,Metric_Dictionary!$A:$I,7,FALSE),"")</x:f>
        <x:v>Y</x:v>
      </x:c>
    </x:row>
    <x:row r="33" ht="15.75" customHeight="1">
      <x:c r="A33" s="8" t="n">
        <x:f>Dashboard_Values!A34</x:f>
        <x:v>46203</x:v>
      </x:c>
      <x:c r="B33" s="6" t="str">
        <x:f>IFERROR(VLOOKUP(C33,Metric_Dictionary!$A:$I,2,FALSE),"")</x:f>
        <x:v>sustainability</x:v>
      </x:c>
      <x:c r="C33" s="6" t="str">
        <x:f>Dashboard_Values!B34</x:f>
        <x:v>outreach_participation</x:v>
      </x:c>
      <x:c r="D33" s="6" t="str">
        <x:f>IFERROR(VLOOKUP(C33,Metric_Dictionary!$A:$I,3,FALSE),"")</x:f>
        <x:v>Outreach Participation</x:v>
      </x:c>
      <x:c r="E33" s="6" t="n">
        <x:f>Dashboard_Values!C34</x:f>
        <x:v>10</x:v>
      </x:c>
      <x:c r="F33" s="6" t="n">
        <x:f>IFERROR(VLOOKUP(C33,Metric_Dictionary!$A:$I,8,FALSE),"")</x:f>
        <x:v>18</x:v>
      </x:c>
      <x:c r="G33" s="6" t="str">
        <x:f>IFERROR(VLOOKUP(C33,Metric_Dictionary!$A:$I,4,FALSE),"")</x:f>
        <x:v>percent</x:v>
      </x:c>
      <x:c r="H33" s="6" t="str">
        <x:f>IFERROR(VLOOKUP(C33,Metric_Dictionary!$A:$I,9,FALSE),"")</x:f>
        <x:v>Offsite and outreach engagement share.</x:v>
      </x:c>
      <x:c r="I33" s="6" t="str">
        <x:f>IFERROR(VLOOKUP(C33,Metric_Dictionary!$A:$I,5,FALSE),"")</x:f>
        <x:v>fa-truck</x:v>
      </x:c>
      <x:c r="J33" s="6" t="n">
        <x:f>IFERROR(VLOOKUP(C33,Metric_Dictionary!$A:$I,6,FALSE),"")</x:f>
        <x:v>2</x:v>
      </x:c>
      <x:c r="K33" s="6" t="str">
        <x:f>IFERROR(VLOOKUP(C33,Metric_Dictionary!$A:$I,7,FALSE),"")</x:f>
        <x:v>Y</x:v>
      </x:c>
    </x:row>
    <x:row r="34" ht="15.75" customHeight="1">
      <x:c r="A34" s="8" t="n">
        <x:f>Dashboard_Values!A35</x:f>
        <x:v>46203</x:v>
      </x:c>
      <x:c r="B34" s="6" t="str">
        <x:f>IFERROR(VLOOKUP(C34,Metric_Dictionary!$A:$I,2,FALSE),"")</x:f>
        <x:v>sustainability</x:v>
      </x:c>
      <x:c r="C34" s="6" t="str">
        <x:f>Dashboard_Values!B35</x:f>
        <x:v>strategic_partnerships</x:v>
      </x:c>
      <x:c r="D34" s="6" t="str">
        <x:f>IFERROR(VLOOKUP(C34,Metric_Dictionary!$A:$I,3,FALSE),"")</x:f>
        <x:v>Strategic Partnerships</x:v>
      </x:c>
      <x:c r="E34" s="6" t="n">
        <x:f>Dashboard_Values!C35</x:f>
        <x:v>11</x:v>
      </x:c>
      <x:c r="F34" s="6" t="n">
        <x:f>IFERROR(VLOOKUP(C34,Metric_Dictionary!$A:$I,8,FALSE),"")</x:f>
        <x:v>12</x:v>
      </x:c>
      <x:c r="G34" s="6" t="str">
        <x:f>IFERROR(VLOOKUP(C34,Metric_Dictionary!$A:$I,4,FALSE),"")</x:f>
        <x:v>number</x:v>
      </x:c>
      <x:c r="H34" s="6" t="str">
        <x:f>IFERROR(VLOOKUP(C34,Metric_Dictionary!$A:$I,9,FALSE),"")</x:f>
        <x:v>Active or emerging strategic partnerships.</x:v>
      </x:c>
      <x:c r="I34" s="6" t="str">
        <x:f>IFERROR(VLOOKUP(C34,Metric_Dictionary!$A:$I,5,FALSE),"")</x:f>
        <x:v>fa-handshake</x:v>
      </x:c>
      <x:c r="J34" s="6" t="n">
        <x:f>IFERROR(VLOOKUP(C34,Metric_Dictionary!$A:$I,6,FALSE),"")</x:f>
        <x:v>3</x:v>
      </x:c>
      <x:c r="K34" s="6" t="str">
        <x:f>IFERROR(VLOOKUP(C34,Metric_Dictionary!$A:$I,7,FALSE),"")</x:f>
        <x:v>Y</x:v>
      </x:c>
    </x:row>
    <x:row r="35" ht="15.75" customHeight="1">
      <x:c r="A35" s="8" t="n">
        <x:f>Dashboard_Values!A36</x:f>
        <x:v>46203</x:v>
      </x:c>
      <x:c r="B35" s="6" t="str">
        <x:f>IFERROR(VLOOKUP(C35,Metric_Dictionary!$A:$I,2,FALSE),"")</x:f>
        <x:v>mission</x:v>
      </x:c>
      <x:c r="C35" s="6" t="str">
        <x:f>Dashboard_Values!B36</x:f>
        <x:v>students_impacted</x:v>
      </x:c>
      <x:c r="D35" s="6" t="str">
        <x:f>IFERROR(VLOOKUP(C35,Metric_Dictionary!$A:$I,3,FALSE),"")</x:f>
        <x:v>Households Reached</x:v>
      </x:c>
      <x:c r="E35" s="6" t="n">
        <x:f>Dashboard_Values!C36</x:f>
        <x:v>15</x:v>
      </x:c>
      <x:c r="F35" s="6" t="n">
        <x:f>IFERROR(VLOOKUP(C35,Metric_Dictionary!$A:$I,8,FALSE),"")</x:f>
        <x:v>31</x:v>
      </x:c>
      <x:c r="G35" s="6" t="str">
        <x:f>IFERROR(VLOOKUP(C35,Metric_Dictionary!$A:$I,4,FALSE),"")</x:f>
        <x:v>percent</x:v>
      </x:c>
      <x:c r="H35" s="6" t="str">
        <x:f>IFERROR(VLOOKUP(C35,Metric_Dictionary!$A:$I,9,FALSE),"")</x:f>
        <x:v>Percent of regional students served.</x:v>
      </x:c>
      <x:c r="I35" s="6" t="str">
        <x:f>IFERROR(VLOOKUP(C35,Metric_Dictionary!$A:$I,5,FALSE),"")</x:f>
        <x:v>fa-user-graduate</x:v>
      </x:c>
      <x:c r="J35" s="6" t="n">
        <x:f>IFERROR(VLOOKUP(C35,Metric_Dictionary!$A:$I,6,FALSE),"")</x:f>
        <x:v>1</x:v>
      </x:c>
      <x:c r="K35" s="6" t="str">
        <x:f>IFERROR(VLOOKUP(C35,Metric_Dictionary!$A:$I,7,FALSE),"")</x:f>
        <x:v>Y</x:v>
      </x:c>
    </x:row>
    <x:row r="36" ht="15.75" customHeight="1">
      <x:c r="A36" s="8" t="n">
        <x:f>Dashboard_Values!A37</x:f>
        <x:v>46203</x:v>
      </x:c>
      <x:c r="B36" s="6" t="str">
        <x:f>IFERROR(VLOOKUP(C36,Metric_Dictionary!$A:$I,2,FALSE),"")</x:f>
        <x:v>mission</x:v>
      </x:c>
      <x:c r="C36" s="6" t="str">
        <x:f>Dashboard_Values!B37</x:f>
        <x:v>population_reached</x:v>
      </x:c>
      <x:c r="D36" s="6" t="str">
        <x:f>IFERROR(VLOOKUP(C36,Metric_Dictionary!$A:$I,3,FALSE),"")</x:f>
        <x:v>Population Reached</x:v>
      </x:c>
      <x:c r="E36" s="6" t="n">
        <x:f>Dashboard_Values!C37</x:f>
        <x:v>97000</x:v>
      </x:c>
      <x:c r="F36" s="6" t="n">
        <x:f>IFERROR(VLOOKUP(C36,Metric_Dictionary!$A:$I,8,FALSE),"")</x:f>
        <x:v>101000</x:v>
      </x:c>
      <x:c r="G36" s="6" t="str">
        <x:f>IFERROR(VLOOKUP(C36,Metric_Dictionary!$A:$I,4,FALSE),"")</x:f>
        <x:v>number</x:v>
      </x:c>
      <x:c r="H36" s="6" t="str">
        <x:f>IFERROR(VLOOKUP(C36,Metric_Dictionary!$A:$I,9,FALSE),"")</x:f>
        <x:v>Annual engagements.</x:v>
      </x:c>
      <x:c r="I36" s="6" t="str">
        <x:f>IFERROR(VLOOKUP(C36,Metric_Dictionary!$A:$I,5,FALSE),"")</x:f>
        <x:v>fa-people-group</x:v>
      </x:c>
      <x:c r="J36" s="6" t="n">
        <x:f>IFERROR(VLOOKUP(C36,Metric_Dictionary!$A:$I,6,FALSE),"")</x:f>
        <x:v>2</x:v>
      </x:c>
      <x:c r="K36" s="6" t="str">
        <x:f>IFERROR(VLOOKUP(C36,Metric_Dictionary!$A:$I,7,FALSE),"")</x:f>
        <x:v>Y</x:v>
      </x:c>
    </x:row>
    <x:row r="37" ht="15.75" customHeight="1">
      <x:c r="A37" s="8" t="n">
        <x:f>Dashboard_Values!A38</x:f>
        <x:v>46203</x:v>
      </x:c>
      <x:c r="B37" s="6" t="str">
        <x:f>IFERROR(VLOOKUP(C37,Metric_Dictionary!$A:$I,2,FALSE),"")</x:f>
        <x:v>mission</x:v>
      </x:c>
      <x:c r="C37" s="6" t="str">
        <x:f>Dashboard_Values!B38</x:f>
        <x:v>schools_reached</x:v>
      </x:c>
      <x:c r="D37" s="6" t="str">
        <x:f>IFERROR(VLOOKUP(C37,Metric_Dictionary!$A:$I,3,FALSE),"")</x:f>
        <x:v>Schools Reached</x:v>
      </x:c>
      <x:c r="E37" s="6" t="n">
        <x:f>Dashboard_Values!C38</x:f>
        <x:v>46</x:v>
      </x:c>
      <x:c r="F37" s="6" t="n">
        <x:f>IFERROR(VLOOKUP(C37,Metric_Dictionary!$A:$I,8,FALSE),"")</x:f>
        <x:v>50</x:v>
      </x:c>
      <x:c r="G37" s="6" t="str">
        <x:f>IFERROR(VLOOKUP(C37,Metric_Dictionary!$A:$I,4,FALSE),"")</x:f>
        <x:v>percent</x:v>
      </x:c>
      <x:c r="H37" s="6" t="str">
        <x:f>IFERROR(VLOOKUP(C37,Metric_Dictionary!$A:$I,9,FALSE),"")</x:f>
        <x:v>Percent of North Dakota schools served.</x:v>
      </x:c>
      <x:c r="I37" s="6" t="str">
        <x:f>IFERROR(VLOOKUP(C37,Metric_Dictionary!$A:$I,5,FALSE),"")</x:f>
        <x:v>fa-school</x:v>
      </x:c>
      <x:c r="J37" s="6" t="n">
        <x:f>IFERROR(VLOOKUP(C37,Metric_Dictionary!$A:$I,6,FALSE),"")</x:f>
        <x:v>3</x:v>
      </x:c>
      <x:c r="K37" s="6" t="str">
        <x:f>IFERROR(VLOOKUP(C37,Metric_Dictionary!$A:$I,7,FALSE),"")</x:f>
        <x:v>Y</x:v>
      </x:c>
    </x:row>
    <x:row r="38" ht="15.75" customHeight="1">
      <x:c r="A38" s="8" t="n">
        <x:f>Dashboard_Values!A39</x:f>
        <x:v>46203</x:v>
      </x:c>
      <x:c r="B38" s="6" t="str">
        <x:f>IFERROR(VLOOKUP(C38,Metric_Dictionary!$A:$I,2,FALSE),"")</x:f>
        <x:v>financial</x:v>
      </x:c>
      <x:c r="C38" s="6" t="str">
        <x:f>Dashboard_Values!B39</x:f>
        <x:v>earned_revenue_ratio</x:v>
      </x:c>
      <x:c r="D38" s="6" t="str">
        <x:f>IFERROR(VLOOKUP(C38,Metric_Dictionary!$A:$I,3,FALSE),"")</x:f>
        <x:v>Earned Revenue Ratio</x:v>
      </x:c>
      <x:c r="E38" s="6" t="n">
        <x:f>Dashboard_Values!C39</x:f>
        <x:v>62</x:v>
      </x:c>
      <x:c r="F38" s="6" t="n">
        <x:f>IFERROR(VLOOKUP(C38,Metric_Dictionary!$A:$I,8,FALSE),"")</x:f>
        <x:v>70</x:v>
      </x:c>
      <x:c r="G38" s="6" t="str">
        <x:f>IFERROR(VLOOKUP(C38,Metric_Dictionary!$A:$I,4,FALSE),"")</x:f>
        <x:v>percent</x:v>
      </x:c>
      <x:c r="H38" s="6" t="str">
        <x:f>IFERROR(VLOOKUP(C38,Metric_Dictionary!$A:$I,9,FALSE),"")</x:f>
        <x:v>Earned revenue share.</x:v>
      </x:c>
      <x:c r="I38" s="6" t="str">
        <x:f>IFERROR(VLOOKUP(C38,Metric_Dictionary!$A:$I,5,FALSE),"")</x:f>
        <x:v>fa-hand-holding-dollar</x:v>
      </x:c>
      <x:c r="J38" s="6" t="n">
        <x:f>IFERROR(VLOOKUP(C38,Metric_Dictionary!$A:$I,6,FALSE),"")</x:f>
        <x:v>1</x:v>
      </x:c>
      <x:c r="K38" s="6" t="str">
        <x:f>IFERROR(VLOOKUP(C38,Metric_Dictionary!$A:$I,7,FALSE),"")</x:f>
        <x:v>Y</x:v>
      </x:c>
    </x:row>
    <x:row r="39" ht="15.75" customHeight="1">
      <x:c r="A39" s="8" t="n">
        <x:f>Dashboard_Values!A40</x:f>
        <x:v>46203</x:v>
      </x:c>
      <x:c r="B39" s="6" t="str">
        <x:f>IFERROR(VLOOKUP(C39,Metric_Dictionary!$A:$I,2,FALSE),"")</x:f>
        <x:v>financial</x:v>
      </x:c>
      <x:c r="C39" s="6" t="str">
        <x:f>Dashboard_Values!B40</x:f>
        <x:v>program_spending</x:v>
      </x:c>
      <x:c r="D39" s="6" t="str">
        <x:f>IFERROR(VLOOKUP(C39,Metric_Dictionary!$A:$I,3,FALSE),"")</x:f>
        <x:v>Program Spending</x:v>
      </x:c>
      <x:c r="E39" s="6" t="n">
        <x:f>Dashboard_Values!C40</x:f>
        <x:v>82</x:v>
      </x:c>
      <x:c r="F39" s="6" t="n">
        <x:f>IFERROR(VLOOKUP(C39,Metric_Dictionary!$A:$I,8,FALSE),"")</x:f>
        <x:v>85</x:v>
      </x:c>
      <x:c r="G39" s="6" t="str">
        <x:f>IFERROR(VLOOKUP(C39,Metric_Dictionary!$A:$I,4,FALSE),"")</x:f>
        <x:v>percent</x:v>
      </x:c>
      <x:c r="H39" s="6" t="str">
        <x:f>IFERROR(VLOOKUP(C39,Metric_Dictionary!$A:$I,9,FALSE),"")</x:f>
        <x:v>Percent of expenses directed to programs.</x:v>
      </x:c>
      <x:c r="I39" s="6" t="str">
        <x:f>IFERROR(VLOOKUP(C39,Metric_Dictionary!$A:$I,5,FALSE),"")</x:f>
        <x:v>fa-bullseye</x:v>
      </x:c>
      <x:c r="J39" s="6" t="n">
        <x:f>IFERROR(VLOOKUP(C39,Metric_Dictionary!$A:$I,6,FALSE),"")</x:f>
        <x:v>2</x:v>
      </x:c>
      <x:c r="K39" s="6" t="str">
        <x:f>IFERROR(VLOOKUP(C39,Metric_Dictionary!$A:$I,7,FALSE),"")</x:f>
        <x:v>Y</x:v>
      </x:c>
    </x:row>
    <x:row r="40" ht="15.75" customHeight="1">
      <x:c r="A40" s="8" t="n">
        <x:f>Dashboard_Values!A41</x:f>
        <x:v>46203</x:v>
      </x:c>
      <x:c r="B40" s="6" t="str">
        <x:f>IFERROR(VLOOKUP(C40,Metric_Dictionary!$A:$I,2,FALSE),"")</x:f>
        <x:v>financial</x:v>
      </x:c>
      <x:c r="C40" s="6" t="str">
        <x:f>Dashboard_Values!B41</x:f>
        <x:v>revenue_diversity</x:v>
      </x:c>
      <x:c r="D40" s="6" t="str">
        <x:f>IFERROR(VLOOKUP(C40,Metric_Dictionary!$A:$I,3,FALSE),"")</x:f>
        <x:v>Revenue Diversity</x:v>
      </x:c>
      <x:c r="E40" s="6" t="n">
        <x:f>Dashboard_Values!C41</x:f>
        <x:v>11</x:v>
      </x:c>
      <x:c r="F40" s="6" t="n">
        <x:f>IFERROR(VLOOKUP(C40,Metric_Dictionary!$A:$I,8,FALSE),"")</x:f>
        <x:v>15</x:v>
      </x:c>
      <x:c r="G40" s="6" t="str">
        <x:f>IFERROR(VLOOKUP(C40,Metric_Dictionary!$A:$I,4,FALSE),"")</x:f>
        <x:v>number</x:v>
      </x:c>
      <x:c r="H40" s="6" t="str">
        <x:f>IFERROR(VLOOKUP(C40,Metric_Dictionary!$A:$I,9,FALSE),"")</x:f>
        <x:v>Number of meaningful revenue streams.</x:v>
      </x:c>
      <x:c r="I40" s="6" t="str">
        <x:f>IFERROR(VLOOKUP(C40,Metric_Dictionary!$A:$I,5,FALSE),"")</x:f>
        <x:v>fa-chart-pie</x:v>
      </x:c>
      <x:c r="J40" s="6" t="n">
        <x:f>IFERROR(VLOOKUP(C40,Metric_Dictionary!$A:$I,6,FALSE),"")</x:f>
        <x:v>3</x:v>
      </x:c>
      <x:c r="K40" s="6" t="str">
        <x:f>IFERROR(VLOOKUP(C40,Metric_Dictionary!$A:$I,7,FALSE),"")</x:f>
        <x:v>Y</x:v>
      </x:c>
    </x:row>
    <x:row r="41" ht="15.75" customHeight="1">
      <x:c r="A41" s="8" t="n">
        <x:f>Dashboard_Values!A42</x:f>
        <x:v>46220</x:v>
      </x:c>
      <x:c r="B41" s="6" t="str">
        <x:f>IFERROR(VLOOKUP(C41,Metric_Dictionary!$A:$I,2,FALSE),"")</x:f>
        <x:v>mission</x:v>
      </x:c>
      <x:c r="C41" s="6" t="str">
        <x:f>Dashboard_Values!B42</x:f>
        <x:v>students_impacted</x:v>
      </x:c>
      <x:c r="D41" s="6" t="str">
        <x:f>IFERROR(VLOOKUP(C41,Metric_Dictionary!$A:$I,3,FALSE),"")</x:f>
        <x:v>Households Reached</x:v>
      </x:c>
      <x:c r="E41" s="6" t="n">
        <x:f>Dashboard_Values!C42</x:f>
        <x:v>16</x:v>
      </x:c>
      <x:c r="F41" s="6" t="n">
        <x:f>IFERROR(VLOOKUP(C41,Metric_Dictionary!$A:$I,8,FALSE),"")</x:f>
        <x:v>31</x:v>
      </x:c>
      <x:c r="G41" s="6" t="str">
        <x:f>IFERROR(VLOOKUP(C41,Metric_Dictionary!$A:$I,4,FALSE),"")</x:f>
        <x:v>percent</x:v>
      </x:c>
      <x:c r="H41" s="6" t="str">
        <x:f>IFERROR(VLOOKUP(C41,Metric_Dictionary!$A:$I,9,FALSE),"")</x:f>
        <x:v>Percent of regional students served.</x:v>
      </x:c>
      <x:c r="I41" s="6" t="str">
        <x:f>IFERROR(VLOOKUP(C41,Metric_Dictionary!$A:$I,5,FALSE),"")</x:f>
        <x:v>fa-user-graduate</x:v>
      </x:c>
      <x:c r="J41" s="6" t="n">
        <x:f>IFERROR(VLOOKUP(C41,Metric_Dictionary!$A:$I,6,FALSE),"")</x:f>
        <x:v>1</x:v>
      </x:c>
      <x:c r="K41" s="6" t="str">
        <x:f>IFERROR(VLOOKUP(C41,Metric_Dictionary!$A:$I,7,FALSE),"")</x:f>
        <x:v>Y</x:v>
      </x:c>
    </x:row>
    <x:row r="42" ht="15.75" customHeight="1">
      <x:c r="A42" s="8" t="n">
        <x:f>Dashboard_Values!A43</x:f>
        <x:v>46230</x:v>
      </x:c>
      <x:c r="B42" s="6" t="str">
        <x:f>IFERROR(VLOOKUP(C42,Metric_Dictionary!$A:$I,2,FALSE),"")</x:f>
        <x:v>mission</x:v>
      </x:c>
      <x:c r="C42" s="6" t="str">
        <x:f>Dashboard_Values!B43</x:f>
        <x:v>population_reached</x:v>
      </x:c>
      <x:c r="D42" s="6" t="str">
        <x:f>IFERROR(VLOOKUP(C42,Metric_Dictionary!$A:$I,3,FALSE),"")</x:f>
        <x:v>Population Reached</x:v>
      </x:c>
      <x:c r="E42" s="6" t="n">
        <x:f>Dashboard_Values!C43</x:f>
        <x:v>99001</x:v>
      </x:c>
      <x:c r="F42" s="6" t="n">
        <x:f>IFERROR(VLOOKUP(C42,Metric_Dictionary!$A:$I,8,FALSE),"")</x:f>
        <x:v>101000</x:v>
      </x:c>
      <x:c r="G42" s="6" t="str">
        <x:f>IFERROR(VLOOKUP(C42,Metric_Dictionary!$A:$I,4,FALSE),"")</x:f>
        <x:v>number</x:v>
      </x:c>
      <x:c r="H42" s="6" t="str">
        <x:f>IFERROR(VLOOKUP(C42,Metric_Dictionary!$A:$I,9,FALSE),"")</x:f>
        <x:v>Annual engagements.</x:v>
      </x:c>
      <x:c r="I42" s="6" t="str">
        <x:f>IFERROR(VLOOKUP(C42,Metric_Dictionary!$A:$I,5,FALSE),"")</x:f>
        <x:v>fa-people-group</x:v>
      </x:c>
      <x:c r="J42" s="6" t="n">
        <x:f>IFERROR(VLOOKUP(C42,Metric_Dictionary!$A:$I,6,FALSE),"")</x:f>
        <x:v>2</x:v>
      </x:c>
      <x:c r="K42" s="6" t="str">
        <x:f>IFERROR(VLOOKUP(C42,Metric_Dictionary!$A:$I,7,FALSE),"")</x:f>
        <x:v>Y</x:v>
      </x:c>
    </x:row>
    <x:row r="43" ht="15.75" customHeight="1">
      <x:c r="A43" s="8" t="n">
        <x:f>Dashboard_Values!A44</x:f>
        <x:v>0</x:v>
      </x:c>
      <x:c r="B43" s="6" t="str">
        <x:f>IFERROR(VLOOKUP(C43,Metric_Dictionary!$A:$I,2,FALSE),"")</x:f>
      </x:c>
      <x:c r="C43" s="6" t="n">
        <x:f>Dashboard_Values!B44</x:f>
        <x:v>0</x:v>
      </x:c>
      <x:c r="D43" s="6" t="str">
        <x:f>IFERROR(VLOOKUP(C43,Metric_Dictionary!$A:$I,3,FALSE),"")</x:f>
      </x:c>
      <x:c r="E43" s="6" t="n">
        <x:f>Dashboard_Values!C44</x:f>
        <x:v>0</x:v>
      </x:c>
      <x:c r="F43" s="6" t="str">
        <x:f>IFERROR(VLOOKUP(C43,Metric_Dictionary!$A:$I,8,FALSE),"")</x:f>
      </x:c>
      <x:c r="G43" s="6" t="str">
        <x:f>IFERROR(VLOOKUP(C43,Metric_Dictionary!$A:$I,4,FALSE),"")</x:f>
      </x:c>
      <x:c r="H43" s="6" t="str">
        <x:f>IFERROR(VLOOKUP(C43,Metric_Dictionary!$A:$I,9,FALSE),"")</x:f>
      </x:c>
      <x:c r="I43" s="6" t="str">
        <x:f>IFERROR(VLOOKUP(C43,Metric_Dictionary!$A:$I,5,FALSE),"")</x:f>
      </x:c>
      <x:c r="J43" s="6" t="str">
        <x:f>IFERROR(VLOOKUP(C43,Metric_Dictionary!$A:$I,6,FALSE),"")</x:f>
      </x:c>
      <x:c r="K43" s="6" t="str">
        <x:f>IFERROR(VLOOKUP(C43,Metric_Dictionary!$A:$I,7,FALSE),"")</x:f>
      </x:c>
    </x:row>
    <x:row r="44" ht="15.75" customHeight="1">
      <x:c r="A44" s="8" t="n">
        <x:f>Dashboard_Values!A45</x:f>
        <x:v>0</x:v>
      </x:c>
      <x:c r="B44" s="6" t="str">
        <x:f>IFERROR(VLOOKUP(C44,Metric_Dictionary!$A:$I,2,FALSE),"")</x:f>
      </x:c>
      <x:c r="C44" s="6" t="n">
        <x:f>Dashboard_Values!B45</x:f>
        <x:v>0</x:v>
      </x:c>
      <x:c r="D44" s="6" t="str">
        <x:f>IFERROR(VLOOKUP(C44,Metric_Dictionary!$A:$I,3,FALSE),"")</x:f>
      </x:c>
      <x:c r="E44" s="6" t="n">
        <x:f>Dashboard_Values!C45</x:f>
        <x:v>0</x:v>
      </x:c>
      <x:c r="F44" s="6" t="str">
        <x:f>IFERROR(VLOOKUP(C44,Metric_Dictionary!$A:$I,8,FALSE),"")</x:f>
      </x:c>
      <x:c r="G44" s="6" t="str">
        <x:f>IFERROR(VLOOKUP(C44,Metric_Dictionary!$A:$I,4,FALSE),"")</x:f>
      </x:c>
      <x:c r="H44" s="6" t="str">
        <x:f>IFERROR(VLOOKUP(C44,Metric_Dictionary!$A:$I,9,FALSE),"")</x:f>
      </x:c>
      <x:c r="I44" s="6" t="str">
        <x:f>IFERROR(VLOOKUP(C44,Metric_Dictionary!$A:$I,5,FALSE),"")</x:f>
      </x:c>
      <x:c r="J44" s="6" t="str">
        <x:f>IFERROR(VLOOKUP(C44,Metric_Dictionary!$A:$I,6,FALSE),"")</x:f>
      </x:c>
      <x:c r="K44" s="6" t="str">
        <x:f>IFERROR(VLOOKUP(C44,Metric_Dictionary!$A:$I,7,FALSE),"")</x:f>
      </x:c>
    </x:row>
    <x:row r="45" ht="15.75" customHeight="1">
      <x:c r="A45" s="8" t="n">
        <x:f>Dashboard_Values!A46</x:f>
        <x:v>0</x:v>
      </x:c>
      <x:c r="B45" s="6" t="str">
        <x:f>IFERROR(VLOOKUP(C45,Metric_Dictionary!$A:$I,2,FALSE),"")</x:f>
      </x:c>
      <x:c r="C45" s="6" t="n">
        <x:f>Dashboard_Values!B46</x:f>
        <x:v>0</x:v>
      </x:c>
      <x:c r="D45" s="6" t="str">
        <x:f>IFERROR(VLOOKUP(C45,Metric_Dictionary!$A:$I,3,FALSE),"")</x:f>
      </x:c>
      <x:c r="E45" s="6" t="n">
        <x:f>Dashboard_Values!C46</x:f>
        <x:v>0</x:v>
      </x:c>
      <x:c r="F45" s="6" t="str">
        <x:f>IFERROR(VLOOKUP(C45,Metric_Dictionary!$A:$I,8,FALSE),"")</x:f>
      </x:c>
      <x:c r="G45" s="6" t="str">
        <x:f>IFERROR(VLOOKUP(C45,Metric_Dictionary!$A:$I,4,FALSE),"")</x:f>
      </x:c>
      <x:c r="H45" s="6" t="str">
        <x:f>IFERROR(VLOOKUP(C45,Metric_Dictionary!$A:$I,9,FALSE),"")</x:f>
      </x:c>
      <x:c r="I45" s="6" t="str">
        <x:f>IFERROR(VLOOKUP(C45,Metric_Dictionary!$A:$I,5,FALSE),"")</x:f>
      </x:c>
      <x:c r="J45" s="6" t="str">
        <x:f>IFERROR(VLOOKUP(C45,Metric_Dictionary!$A:$I,6,FALSE),"")</x:f>
      </x:c>
      <x:c r="K45" s="6" t="str">
        <x:f>IFERROR(VLOOKUP(C45,Metric_Dictionary!$A:$I,7,FALSE),"")</x:f>
      </x:c>
    </x:row>
    <x:row r="46" ht="15.75" customHeight="1">
      <x:c r="A46" s="8" t="n">
        <x:f>Dashboard_Values!A47</x:f>
        <x:v>0</x:v>
      </x:c>
      <x:c r="B46" s="6" t="str">
        <x:f>IFERROR(VLOOKUP(C46,Metric_Dictionary!$A:$I,2,FALSE),"")</x:f>
      </x:c>
      <x:c r="C46" s="6" t="n">
        <x:f>Dashboard_Values!B47</x:f>
        <x:v>0</x:v>
      </x:c>
      <x:c r="D46" s="6" t="str">
        <x:f>IFERROR(VLOOKUP(C46,Metric_Dictionary!$A:$I,3,FALSE),"")</x:f>
      </x:c>
      <x:c r="E46" s="6" t="n">
        <x:f>Dashboard_Values!C47</x:f>
        <x:v>0</x:v>
      </x:c>
      <x:c r="F46" s="6" t="str">
        <x:f>IFERROR(VLOOKUP(C46,Metric_Dictionary!$A:$I,8,FALSE),"")</x:f>
      </x:c>
      <x:c r="G46" s="6" t="str">
        <x:f>IFERROR(VLOOKUP(C46,Metric_Dictionary!$A:$I,4,FALSE),"")</x:f>
      </x:c>
      <x:c r="H46" s="6" t="str">
        <x:f>IFERROR(VLOOKUP(C46,Metric_Dictionary!$A:$I,9,FALSE),"")</x:f>
      </x:c>
      <x:c r="I46" s="6" t="str">
        <x:f>IFERROR(VLOOKUP(C46,Metric_Dictionary!$A:$I,5,FALSE),"")</x:f>
      </x:c>
      <x:c r="J46" s="6" t="str">
        <x:f>IFERROR(VLOOKUP(C46,Metric_Dictionary!$A:$I,6,FALSE),"")</x:f>
      </x:c>
      <x:c r="K46" s="6" t="str">
        <x:f>IFERROR(VLOOKUP(C46,Metric_Dictionary!$A:$I,7,FALSE),"")</x:f>
      </x:c>
    </x:row>
    <x:row r="47" ht="15.75" customHeight="1">
      <x:c r="A47" s="8" t="n">
        <x:f>Dashboard_Values!A48</x:f>
        <x:v>0</x:v>
      </x:c>
      <x:c r="B47" s="6" t="str">
        <x:f>IFERROR(VLOOKUP(C47,Metric_Dictionary!$A:$I,2,FALSE),"")</x:f>
      </x:c>
      <x:c r="C47" s="6" t="n">
        <x:f>Dashboard_Values!B48</x:f>
        <x:v>0</x:v>
      </x:c>
      <x:c r="D47" s="6" t="str">
        <x:f>IFERROR(VLOOKUP(C47,Metric_Dictionary!$A:$I,3,FALSE),"")</x:f>
      </x:c>
      <x:c r="E47" s="6" t="n">
        <x:f>Dashboard_Values!C48</x:f>
        <x:v>0</x:v>
      </x:c>
      <x:c r="F47" s="6" t="str">
        <x:f>IFERROR(VLOOKUP(C47,Metric_Dictionary!$A:$I,8,FALSE),"")</x:f>
      </x:c>
      <x:c r="G47" s="6" t="str">
        <x:f>IFERROR(VLOOKUP(C47,Metric_Dictionary!$A:$I,4,FALSE),"")</x:f>
      </x:c>
      <x:c r="H47" s="6" t="str">
        <x:f>IFERROR(VLOOKUP(C47,Metric_Dictionary!$A:$I,9,FALSE),"")</x:f>
      </x:c>
      <x:c r="I47" s="6" t="str">
        <x:f>IFERROR(VLOOKUP(C47,Metric_Dictionary!$A:$I,5,FALSE),"")</x:f>
      </x:c>
      <x:c r="J47" s="6" t="str">
        <x:f>IFERROR(VLOOKUP(C47,Metric_Dictionary!$A:$I,6,FALSE),"")</x:f>
      </x:c>
      <x:c r="K47" s="6" t="str">
        <x:f>IFERROR(VLOOKUP(C47,Metric_Dictionary!$A:$I,7,FALSE),"")</x:f>
      </x:c>
    </x:row>
    <x:row r="48" ht="15.75" customHeight="1">
      <x:c r="A48" s="8" t="n">
        <x:f>Dashboard_Values!A49</x:f>
        <x:v>0</x:v>
      </x:c>
      <x:c r="B48" s="6" t="str">
        <x:f>IFERROR(VLOOKUP(C48,Metric_Dictionary!$A:$I,2,FALSE),"")</x:f>
      </x:c>
      <x:c r="C48" s="6" t="n">
        <x:f>Dashboard_Values!B49</x:f>
        <x:v>0</x:v>
      </x:c>
      <x:c r="D48" s="6" t="str">
        <x:f>IFERROR(VLOOKUP(C48,Metric_Dictionary!$A:$I,3,FALSE),"")</x:f>
      </x:c>
      <x:c r="E48" s="6" t="n">
        <x:f>Dashboard_Values!C49</x:f>
        <x:v>0</x:v>
      </x:c>
      <x:c r="F48" s="6" t="str">
        <x:f>IFERROR(VLOOKUP(C48,Metric_Dictionary!$A:$I,8,FALSE),"")</x:f>
      </x:c>
      <x:c r="G48" s="6" t="str">
        <x:f>IFERROR(VLOOKUP(C48,Metric_Dictionary!$A:$I,4,FALSE),"")</x:f>
      </x:c>
      <x:c r="H48" s="6" t="str">
        <x:f>IFERROR(VLOOKUP(C48,Metric_Dictionary!$A:$I,9,FALSE),"")</x:f>
      </x:c>
      <x:c r="I48" s="6" t="str">
        <x:f>IFERROR(VLOOKUP(C48,Metric_Dictionary!$A:$I,5,FALSE),"")</x:f>
      </x:c>
      <x:c r="J48" s="6" t="str">
        <x:f>IFERROR(VLOOKUP(C48,Metric_Dictionary!$A:$I,6,FALSE),"")</x:f>
      </x:c>
      <x:c r="K48" s="6" t="str">
        <x:f>IFERROR(VLOOKUP(C48,Metric_Dictionary!$A:$I,7,FALSE),"")</x:f>
      </x:c>
    </x:row>
    <x:row r="49" ht="15.75" customHeight="1">
      <x:c r="A49" s="8" t="n">
        <x:f>Dashboard_Values!A50</x:f>
        <x:v>0</x:v>
      </x:c>
      <x:c r="B49" s="6" t="str">
        <x:f>IFERROR(VLOOKUP(C49,Metric_Dictionary!$A:$I,2,FALSE),"")</x:f>
      </x:c>
      <x:c r="C49" s="6" t="n">
        <x:f>Dashboard_Values!B50</x:f>
        <x:v>0</x:v>
      </x:c>
      <x:c r="D49" s="6" t="str">
        <x:f>IFERROR(VLOOKUP(C49,Metric_Dictionary!$A:$I,3,FALSE),"")</x:f>
      </x:c>
      <x:c r="E49" s="6" t="n">
        <x:f>Dashboard_Values!C50</x:f>
        <x:v>0</x:v>
      </x:c>
      <x:c r="F49" s="6" t="str">
        <x:f>IFERROR(VLOOKUP(C49,Metric_Dictionary!$A:$I,8,FALSE),"")</x:f>
      </x:c>
      <x:c r="G49" s="6" t="str">
        <x:f>IFERROR(VLOOKUP(C49,Metric_Dictionary!$A:$I,4,FALSE),"")</x:f>
      </x:c>
      <x:c r="H49" s="6" t="str">
        <x:f>IFERROR(VLOOKUP(C49,Metric_Dictionary!$A:$I,9,FALSE),"")</x:f>
      </x:c>
      <x:c r="I49" s="6" t="str">
        <x:f>IFERROR(VLOOKUP(C49,Metric_Dictionary!$A:$I,5,FALSE),"")</x:f>
      </x:c>
      <x:c r="J49" s="6" t="str">
        <x:f>IFERROR(VLOOKUP(C49,Metric_Dictionary!$A:$I,6,FALSE),"")</x:f>
      </x:c>
      <x:c r="K49" s="6" t="str">
        <x:f>IFERROR(VLOOKUP(C49,Metric_Dictionary!$A:$I,7,FALSE),"")</x:f>
      </x:c>
    </x:row>
    <x:row r="50" ht="15.75" customHeight="1">
      <x:c r="A50" s="8" t="n">
        <x:f>Dashboard_Values!A51</x:f>
        <x:v>0</x:v>
      </x:c>
      <x:c r="B50" s="6" t="str">
        <x:f>IFERROR(VLOOKUP(C50,Metric_Dictionary!$A:$I,2,FALSE),"")</x:f>
      </x:c>
      <x:c r="C50" s="6" t="n">
        <x:f>Dashboard_Values!B51</x:f>
        <x:v>0</x:v>
      </x:c>
      <x:c r="D50" s="6" t="str">
        <x:f>IFERROR(VLOOKUP(C50,Metric_Dictionary!$A:$I,3,FALSE),"")</x:f>
      </x:c>
      <x:c r="E50" s="6" t="n">
        <x:f>Dashboard_Values!C51</x:f>
        <x:v>0</x:v>
      </x:c>
      <x:c r="F50" s="6" t="str">
        <x:f>IFERROR(VLOOKUP(C50,Metric_Dictionary!$A:$I,8,FALSE),"")</x:f>
      </x:c>
      <x:c r="G50" s="6" t="str">
        <x:f>IFERROR(VLOOKUP(C50,Metric_Dictionary!$A:$I,4,FALSE),"")</x:f>
      </x:c>
      <x:c r="H50" s="6" t="str">
        <x:f>IFERROR(VLOOKUP(C50,Metric_Dictionary!$A:$I,9,FALSE),"")</x:f>
      </x:c>
      <x:c r="I50" s="6" t="str">
        <x:f>IFERROR(VLOOKUP(C50,Metric_Dictionary!$A:$I,5,FALSE),"")</x:f>
      </x:c>
      <x:c r="J50" s="6" t="str">
        <x:f>IFERROR(VLOOKUP(C50,Metric_Dictionary!$A:$I,6,FALSE),"")</x:f>
      </x:c>
      <x:c r="K50" s="6" t="str">
        <x:f>IFERROR(VLOOKUP(C50,Metric_Dictionary!$A:$I,7,FALSE),"")</x:f>
      </x:c>
    </x:row>
    <x:row r="51" ht="15.75" customHeight="1">
      <x:c r="A51" s="8" t="n">
        <x:f>Dashboard_Values!A52</x:f>
        <x:v>0</x:v>
      </x:c>
      <x:c r="B51" s="6" t="str">
        <x:f>IFERROR(VLOOKUP(C51,Metric_Dictionary!$A:$I,2,FALSE),"")</x:f>
      </x:c>
      <x:c r="C51" s="6" t="n">
        <x:f>Dashboard_Values!B52</x:f>
        <x:v>0</x:v>
      </x:c>
      <x:c r="D51" s="6" t="str">
        <x:f>IFERROR(VLOOKUP(C51,Metric_Dictionary!$A:$I,3,FALSE),"")</x:f>
      </x:c>
      <x:c r="E51" s="6" t="n">
        <x:f>Dashboard_Values!C52</x:f>
        <x:v>0</x:v>
      </x:c>
      <x:c r="F51" s="6" t="str">
        <x:f>IFERROR(VLOOKUP(C51,Metric_Dictionary!$A:$I,8,FALSE),"")</x:f>
      </x:c>
      <x:c r="G51" s="6" t="str">
        <x:f>IFERROR(VLOOKUP(C51,Metric_Dictionary!$A:$I,4,FALSE),"")</x:f>
      </x:c>
      <x:c r="H51" s="6" t="str">
        <x:f>IFERROR(VLOOKUP(C51,Metric_Dictionary!$A:$I,9,FALSE),"")</x:f>
      </x:c>
      <x:c r="I51" s="6" t="str">
        <x:f>IFERROR(VLOOKUP(C51,Metric_Dictionary!$A:$I,5,FALSE),"")</x:f>
      </x:c>
      <x:c r="J51" s="6" t="str">
        <x:f>IFERROR(VLOOKUP(C51,Metric_Dictionary!$A:$I,6,FALSE),"")</x:f>
      </x:c>
      <x:c r="K51" s="6" t="str">
        <x:f>IFERROR(VLOOKUP(C51,Metric_Dictionary!$A:$I,7,FALSE),"")</x:f>
      </x:c>
    </x:row>
    <x:row r="52" ht="15.75" customHeight="1">
      <x:c r="A52" s="8" t="n">
        <x:f>Dashboard_Values!A53</x:f>
        <x:v>0</x:v>
      </x:c>
      <x:c r="B52" s="6" t="str">
        <x:f>IFERROR(VLOOKUP(C52,Metric_Dictionary!$A:$I,2,FALSE),"")</x:f>
      </x:c>
      <x:c r="C52" s="6" t="n">
        <x:f>Dashboard_Values!B53</x:f>
        <x:v>0</x:v>
      </x:c>
      <x:c r="D52" s="6" t="str">
        <x:f>IFERROR(VLOOKUP(C52,Metric_Dictionary!$A:$I,3,FALSE),"")</x:f>
      </x:c>
      <x:c r="E52" s="6" t="n">
        <x:f>Dashboard_Values!C53</x:f>
        <x:v>0</x:v>
      </x:c>
      <x:c r="F52" s="6" t="str">
        <x:f>IFERROR(VLOOKUP(C52,Metric_Dictionary!$A:$I,8,FALSE),"")</x:f>
      </x:c>
      <x:c r="G52" s="6" t="str">
        <x:f>IFERROR(VLOOKUP(C52,Metric_Dictionary!$A:$I,4,FALSE),"")</x:f>
      </x:c>
      <x:c r="H52" s="6" t="str">
        <x:f>IFERROR(VLOOKUP(C52,Metric_Dictionary!$A:$I,9,FALSE),"")</x:f>
      </x:c>
      <x:c r="I52" s="6" t="str">
        <x:f>IFERROR(VLOOKUP(C52,Metric_Dictionary!$A:$I,5,FALSE),"")</x:f>
      </x:c>
      <x:c r="J52" s="6" t="str">
        <x:f>IFERROR(VLOOKUP(C52,Metric_Dictionary!$A:$I,6,FALSE),"")</x:f>
      </x:c>
      <x:c r="K52" s="6" t="str">
        <x:f>IFERROR(VLOOKUP(C52,Metric_Dictionary!$A:$I,7,FALSE),"")</x:f>
      </x:c>
    </x:row>
    <x:row r="53" ht="15.75" customHeight="1">
      <x:c r="A53" s="8" t="n">
        <x:f>Dashboard_Values!A54</x:f>
        <x:v>0</x:v>
      </x:c>
      <x:c r="B53" s="6" t="str">
        <x:f>IFERROR(VLOOKUP(C53,Metric_Dictionary!$A:$I,2,FALSE),"")</x:f>
      </x:c>
      <x:c r="C53" s="6" t="n">
        <x:f>Dashboard_Values!B54</x:f>
        <x:v>0</x:v>
      </x:c>
      <x:c r="D53" s="6" t="str">
        <x:f>IFERROR(VLOOKUP(C53,Metric_Dictionary!$A:$I,3,FALSE),"")</x:f>
      </x:c>
      <x:c r="E53" s="6" t="n">
        <x:f>Dashboard_Values!C54</x:f>
        <x:v>0</x:v>
      </x:c>
      <x:c r="F53" s="6" t="str">
        <x:f>IFERROR(VLOOKUP(C53,Metric_Dictionary!$A:$I,8,FALSE),"")</x:f>
      </x:c>
      <x:c r="G53" s="6" t="str">
        <x:f>IFERROR(VLOOKUP(C53,Metric_Dictionary!$A:$I,4,FALSE),"")</x:f>
      </x:c>
      <x:c r="H53" s="6" t="str">
        <x:f>IFERROR(VLOOKUP(C53,Metric_Dictionary!$A:$I,9,FALSE),"")</x:f>
      </x:c>
      <x:c r="I53" s="6" t="str">
        <x:f>IFERROR(VLOOKUP(C53,Metric_Dictionary!$A:$I,5,FALSE),"")</x:f>
      </x:c>
      <x:c r="J53" s="6" t="str">
        <x:f>IFERROR(VLOOKUP(C53,Metric_Dictionary!$A:$I,6,FALSE),"")</x:f>
      </x:c>
      <x:c r="K53" s="6" t="str">
        <x:f>IFERROR(VLOOKUP(C53,Metric_Dictionary!$A:$I,7,FALSE),"")</x:f>
      </x:c>
    </x:row>
    <x:row r="54" ht="15.75" customHeight="1">
      <x:c r="A54" s="8" t="n">
        <x:f>Dashboard_Values!A55</x:f>
        <x:v>0</x:v>
      </x:c>
      <x:c r="B54" s="6" t="str">
        <x:f>IFERROR(VLOOKUP(C54,Metric_Dictionary!$A:$I,2,FALSE),"")</x:f>
      </x:c>
      <x:c r="C54" s="6" t="n">
        <x:f>Dashboard_Values!B55</x:f>
        <x:v>0</x:v>
      </x:c>
      <x:c r="D54" s="6" t="str">
        <x:f>IFERROR(VLOOKUP(C54,Metric_Dictionary!$A:$I,3,FALSE),"")</x:f>
      </x:c>
      <x:c r="E54" s="6" t="n">
        <x:f>Dashboard_Values!C55</x:f>
        <x:v>0</x:v>
      </x:c>
      <x:c r="F54" s="6" t="str">
        <x:f>IFERROR(VLOOKUP(C54,Metric_Dictionary!$A:$I,8,FALSE),"")</x:f>
      </x:c>
      <x:c r="G54" s="6" t="str">
        <x:f>IFERROR(VLOOKUP(C54,Metric_Dictionary!$A:$I,4,FALSE),"")</x:f>
      </x:c>
      <x:c r="H54" s="6" t="str">
        <x:f>IFERROR(VLOOKUP(C54,Metric_Dictionary!$A:$I,9,FALSE),"")</x:f>
      </x:c>
      <x:c r="I54" s="6" t="str">
        <x:f>IFERROR(VLOOKUP(C54,Metric_Dictionary!$A:$I,5,FALSE),"")</x:f>
      </x:c>
      <x:c r="J54" s="6" t="str">
        <x:f>IFERROR(VLOOKUP(C54,Metric_Dictionary!$A:$I,6,FALSE),"")</x:f>
      </x:c>
      <x:c r="K54" s="6" t="str">
        <x:f>IFERROR(VLOOKUP(C54,Metric_Dictionary!$A:$I,7,FALSE),"")</x:f>
      </x:c>
    </x:row>
    <x:row r="55" ht="15.75" customHeight="1">
      <x:c r="A55" s="8" t="n">
        <x:f>Dashboard_Values!A56</x:f>
        <x:v>0</x:v>
      </x:c>
      <x:c r="B55" s="6" t="str">
        <x:f>IFERROR(VLOOKUP(C55,Metric_Dictionary!$A:$I,2,FALSE),"")</x:f>
      </x:c>
      <x:c r="C55" s="6" t="n">
        <x:f>Dashboard_Values!B56</x:f>
        <x:v>0</x:v>
      </x:c>
      <x:c r="D55" s="6" t="str">
        <x:f>IFERROR(VLOOKUP(C55,Metric_Dictionary!$A:$I,3,FALSE),"")</x:f>
      </x:c>
      <x:c r="E55" s="6" t="n">
        <x:f>Dashboard_Values!C56</x:f>
        <x:v>0</x:v>
      </x:c>
      <x:c r="F55" s="6" t="str">
        <x:f>IFERROR(VLOOKUP(C55,Metric_Dictionary!$A:$I,8,FALSE),"")</x:f>
      </x:c>
      <x:c r="G55" s="6" t="str">
        <x:f>IFERROR(VLOOKUP(C55,Metric_Dictionary!$A:$I,4,FALSE),"")</x:f>
      </x:c>
      <x:c r="H55" s="6" t="str">
        <x:f>IFERROR(VLOOKUP(C55,Metric_Dictionary!$A:$I,9,FALSE),"")</x:f>
      </x:c>
      <x:c r="I55" s="6" t="str">
        <x:f>IFERROR(VLOOKUP(C55,Metric_Dictionary!$A:$I,5,FALSE),"")</x:f>
      </x:c>
      <x:c r="J55" s="6" t="str">
        <x:f>IFERROR(VLOOKUP(C55,Metric_Dictionary!$A:$I,6,FALSE),"")</x:f>
      </x:c>
      <x:c r="K55" s="6" t="str">
        <x:f>IFERROR(VLOOKUP(C55,Metric_Dictionary!$A:$I,7,FALSE),"")</x:f>
      </x:c>
    </x:row>
    <x:row r="56" ht="15.75" customHeight="1">
      <x:c r="A56" s="8" t="n">
        <x:f>Dashboard_Values!A57</x:f>
        <x:v>0</x:v>
      </x:c>
      <x:c r="B56" s="6" t="str">
        <x:f>IFERROR(VLOOKUP(C56,Metric_Dictionary!$A:$I,2,FALSE),"")</x:f>
      </x:c>
      <x:c r="C56" s="6" t="n">
        <x:f>Dashboard_Values!B57</x:f>
        <x:v>0</x:v>
      </x:c>
      <x:c r="D56" s="6" t="str">
        <x:f>IFERROR(VLOOKUP(C56,Metric_Dictionary!$A:$I,3,FALSE),"")</x:f>
      </x:c>
      <x:c r="E56" s="6" t="n">
        <x:f>Dashboard_Values!C57</x:f>
        <x:v>0</x:v>
      </x:c>
      <x:c r="F56" s="6" t="str">
        <x:f>IFERROR(VLOOKUP(C56,Metric_Dictionary!$A:$I,8,FALSE),"")</x:f>
      </x:c>
      <x:c r="G56" s="6" t="str">
        <x:f>IFERROR(VLOOKUP(C56,Metric_Dictionary!$A:$I,4,FALSE),"")</x:f>
      </x:c>
      <x:c r="H56" s="6" t="str">
        <x:f>IFERROR(VLOOKUP(C56,Metric_Dictionary!$A:$I,9,FALSE),"")</x:f>
      </x:c>
      <x:c r="I56" s="6" t="str">
        <x:f>IFERROR(VLOOKUP(C56,Metric_Dictionary!$A:$I,5,FALSE),"")</x:f>
      </x:c>
      <x:c r="J56" s="6" t="str">
        <x:f>IFERROR(VLOOKUP(C56,Metric_Dictionary!$A:$I,6,FALSE),"")</x:f>
      </x:c>
      <x:c r="K56" s="6" t="str">
        <x:f>IFERROR(VLOOKUP(C56,Metric_Dictionary!$A:$I,7,FALSE),"")</x:f>
      </x:c>
    </x:row>
    <x:row r="57" ht="15.75" customHeight="1">
      <x:c r="A57" s="8" t="n">
        <x:f>Dashboard_Values!A58</x:f>
        <x:v>0</x:v>
      </x:c>
      <x:c r="B57" s="6" t="str">
        <x:f>IFERROR(VLOOKUP(C57,Metric_Dictionary!$A:$I,2,FALSE),"")</x:f>
      </x:c>
      <x:c r="C57" s="6" t="n">
        <x:f>Dashboard_Values!B58</x:f>
        <x:v>0</x:v>
      </x:c>
      <x:c r="D57" s="6" t="str">
        <x:f>IFERROR(VLOOKUP(C57,Metric_Dictionary!$A:$I,3,FALSE),"")</x:f>
      </x:c>
      <x:c r="E57" s="6" t="n">
        <x:f>Dashboard_Values!C58</x:f>
        <x:v>0</x:v>
      </x:c>
      <x:c r="F57" s="6" t="str">
        <x:f>IFERROR(VLOOKUP(C57,Metric_Dictionary!$A:$I,8,FALSE),"")</x:f>
      </x:c>
      <x:c r="G57" s="6" t="str">
        <x:f>IFERROR(VLOOKUP(C57,Metric_Dictionary!$A:$I,4,FALSE),"")</x:f>
      </x:c>
      <x:c r="H57" s="6" t="str">
        <x:f>IFERROR(VLOOKUP(C57,Metric_Dictionary!$A:$I,9,FALSE),"")</x:f>
      </x:c>
      <x:c r="I57" s="6" t="str">
        <x:f>IFERROR(VLOOKUP(C57,Metric_Dictionary!$A:$I,5,FALSE),"")</x:f>
      </x:c>
      <x:c r="J57" s="6" t="str">
        <x:f>IFERROR(VLOOKUP(C57,Metric_Dictionary!$A:$I,6,FALSE),"")</x:f>
      </x:c>
      <x:c r="K57" s="6" t="str">
        <x:f>IFERROR(VLOOKUP(C57,Metric_Dictionary!$A:$I,7,FALSE),"")</x:f>
      </x:c>
    </x:row>
    <x:row r="58" ht="15.75" customHeight="1">
      <x:c r="A58" s="8" t="n">
        <x:f>Dashboard_Values!A59</x:f>
        <x:v>0</x:v>
      </x:c>
      <x:c r="B58" s="6" t="str">
        <x:f>IFERROR(VLOOKUP(C58,Metric_Dictionary!$A:$I,2,FALSE),"")</x:f>
      </x:c>
      <x:c r="C58" s="6" t="n">
        <x:f>Dashboard_Values!B59</x:f>
        <x:v>0</x:v>
      </x:c>
      <x:c r="D58" s="6" t="str">
        <x:f>IFERROR(VLOOKUP(C58,Metric_Dictionary!$A:$I,3,FALSE),"")</x:f>
      </x:c>
      <x:c r="E58" s="6" t="n">
        <x:f>Dashboard_Values!C59</x:f>
        <x:v>0</x:v>
      </x:c>
      <x:c r="F58" s="6" t="str">
        <x:f>IFERROR(VLOOKUP(C58,Metric_Dictionary!$A:$I,8,FALSE),"")</x:f>
      </x:c>
      <x:c r="G58" s="6" t="str">
        <x:f>IFERROR(VLOOKUP(C58,Metric_Dictionary!$A:$I,4,FALSE),"")</x:f>
      </x:c>
      <x:c r="H58" s="6" t="str">
        <x:f>IFERROR(VLOOKUP(C58,Metric_Dictionary!$A:$I,9,FALSE),"")</x:f>
      </x:c>
      <x:c r="I58" s="6" t="str">
        <x:f>IFERROR(VLOOKUP(C58,Metric_Dictionary!$A:$I,5,FALSE),"")</x:f>
      </x:c>
      <x:c r="J58" s="6" t="str">
        <x:f>IFERROR(VLOOKUP(C58,Metric_Dictionary!$A:$I,6,FALSE),"")</x:f>
      </x:c>
      <x:c r="K58" s="6" t="str">
        <x:f>IFERROR(VLOOKUP(C58,Metric_Dictionary!$A:$I,7,FALSE),"")</x:f>
      </x:c>
    </x:row>
    <x:row r="59" ht="15.75" customHeight="1">
      <x:c r="A59" s="8" t="n">
        <x:f>Dashboard_Values!A60</x:f>
        <x:v>0</x:v>
      </x:c>
      <x:c r="B59" s="6" t="str">
        <x:f>IFERROR(VLOOKUP(C59,Metric_Dictionary!$A:$I,2,FALSE),"")</x:f>
      </x:c>
      <x:c r="C59" s="6" t="n">
        <x:f>Dashboard_Values!B60</x:f>
        <x:v>0</x:v>
      </x:c>
      <x:c r="D59" s="6" t="str">
        <x:f>IFERROR(VLOOKUP(C59,Metric_Dictionary!$A:$I,3,FALSE),"")</x:f>
      </x:c>
      <x:c r="E59" s="6" t="n">
        <x:f>Dashboard_Values!C60</x:f>
        <x:v>0</x:v>
      </x:c>
      <x:c r="F59" s="6" t="str">
        <x:f>IFERROR(VLOOKUP(C59,Metric_Dictionary!$A:$I,8,FALSE),"")</x:f>
      </x:c>
      <x:c r="G59" s="6" t="str">
        <x:f>IFERROR(VLOOKUP(C59,Metric_Dictionary!$A:$I,4,FALSE),"")</x:f>
      </x:c>
      <x:c r="H59" s="6" t="str">
        <x:f>IFERROR(VLOOKUP(C59,Metric_Dictionary!$A:$I,9,FALSE),"")</x:f>
      </x:c>
      <x:c r="I59" s="6" t="str">
        <x:f>IFERROR(VLOOKUP(C59,Metric_Dictionary!$A:$I,5,FALSE),"")</x:f>
      </x:c>
      <x:c r="J59" s="6" t="str">
        <x:f>IFERROR(VLOOKUP(C59,Metric_Dictionary!$A:$I,6,FALSE),"")</x:f>
      </x:c>
      <x:c r="K59" s="6" t="str">
        <x:f>IFERROR(VLOOKUP(C59,Metric_Dictionary!$A:$I,7,FALSE),"")</x:f>
      </x:c>
    </x:row>
    <x:row r="60" ht="15.75" customHeight="1">
      <x:c r="A60" s="8" t="n">
        <x:f>Dashboard_Values!A61</x:f>
        <x:v>0</x:v>
      </x:c>
      <x:c r="B60" s="6" t="str">
        <x:f>IFERROR(VLOOKUP(C60,Metric_Dictionary!$A:$I,2,FALSE),"")</x:f>
      </x:c>
      <x:c r="C60" s="6" t="n">
        <x:f>Dashboard_Values!B61</x:f>
        <x:v>0</x:v>
      </x:c>
      <x:c r="D60" s="6" t="str">
        <x:f>IFERROR(VLOOKUP(C60,Metric_Dictionary!$A:$I,3,FALSE),"")</x:f>
      </x:c>
      <x:c r="E60" s="6" t="n">
        <x:f>Dashboard_Values!C61</x:f>
        <x:v>0</x:v>
      </x:c>
      <x:c r="F60" s="6" t="str">
        <x:f>IFERROR(VLOOKUP(C60,Metric_Dictionary!$A:$I,8,FALSE),"")</x:f>
      </x:c>
      <x:c r="G60" s="6" t="str">
        <x:f>IFERROR(VLOOKUP(C60,Metric_Dictionary!$A:$I,4,FALSE),"")</x:f>
      </x:c>
      <x:c r="H60" s="6" t="str">
        <x:f>IFERROR(VLOOKUP(C60,Metric_Dictionary!$A:$I,9,FALSE),"")</x:f>
      </x:c>
      <x:c r="I60" s="6" t="str">
        <x:f>IFERROR(VLOOKUP(C60,Metric_Dictionary!$A:$I,5,FALSE),"")</x:f>
      </x:c>
      <x:c r="J60" s="6" t="str">
        <x:f>IFERROR(VLOOKUP(C60,Metric_Dictionary!$A:$I,6,FALSE),"")</x:f>
      </x:c>
      <x:c r="K60" s="6" t="str">
        <x:f>IFERROR(VLOOKUP(C60,Metric_Dictionary!$A:$I,7,FALSE),"")</x:f>
      </x:c>
    </x:row>
    <x:row r="61" ht="15.75" customHeight="1">
      <x:c r="A61" s="8" t="n">
        <x:f>Dashboard_Values!A62</x:f>
        <x:v>0</x:v>
      </x:c>
      <x:c r="B61" s="6" t="str">
        <x:f>IFERROR(VLOOKUP(C61,Metric_Dictionary!$A:$I,2,FALSE),"")</x:f>
      </x:c>
      <x:c r="C61" s="6" t="n">
        <x:f>Dashboard_Values!B62</x:f>
        <x:v>0</x:v>
      </x:c>
      <x:c r="D61" s="6" t="str">
        <x:f>IFERROR(VLOOKUP(C61,Metric_Dictionary!$A:$I,3,FALSE),"")</x:f>
      </x:c>
      <x:c r="E61" s="6" t="n">
        <x:f>Dashboard_Values!C62</x:f>
        <x:v>0</x:v>
      </x:c>
      <x:c r="F61" s="6" t="str">
        <x:f>IFERROR(VLOOKUP(C61,Metric_Dictionary!$A:$I,8,FALSE),"")</x:f>
      </x:c>
      <x:c r="G61" s="6" t="str">
        <x:f>IFERROR(VLOOKUP(C61,Metric_Dictionary!$A:$I,4,FALSE),"")</x:f>
      </x:c>
      <x:c r="H61" s="6" t="str">
        <x:f>IFERROR(VLOOKUP(C61,Metric_Dictionary!$A:$I,9,FALSE),"")</x:f>
      </x:c>
      <x:c r="I61" s="6" t="str">
        <x:f>IFERROR(VLOOKUP(C61,Metric_Dictionary!$A:$I,5,FALSE),"")</x:f>
      </x:c>
      <x:c r="J61" s="6" t="str">
        <x:f>IFERROR(VLOOKUP(C61,Metric_Dictionary!$A:$I,6,FALSE),"")</x:f>
      </x:c>
      <x:c r="K61" s="6" t="str">
        <x:f>IFERROR(VLOOKUP(C61,Metric_Dictionary!$A:$I,7,FALSE),"")</x:f>
      </x:c>
    </x:row>
    <x:row r="62" ht="15.75" customHeight="1">
      <x:c r="A62" s="8" t="n">
        <x:f>Dashboard_Values!A63</x:f>
        <x:v>0</x:v>
      </x:c>
      <x:c r="B62" s="6" t="str">
        <x:f>IFERROR(VLOOKUP(C62,Metric_Dictionary!$A:$I,2,FALSE),"")</x:f>
      </x:c>
      <x:c r="C62" s="6" t="n">
        <x:f>Dashboard_Values!B63</x:f>
        <x:v>0</x:v>
      </x:c>
      <x:c r="D62" s="6" t="str">
        <x:f>IFERROR(VLOOKUP(C62,Metric_Dictionary!$A:$I,3,FALSE),"")</x:f>
      </x:c>
      <x:c r="E62" s="6" t="n">
        <x:f>Dashboard_Values!C63</x:f>
        <x:v>0</x:v>
      </x:c>
      <x:c r="F62" s="6" t="str">
        <x:f>IFERROR(VLOOKUP(C62,Metric_Dictionary!$A:$I,8,FALSE),"")</x:f>
      </x:c>
      <x:c r="G62" s="6" t="str">
        <x:f>IFERROR(VLOOKUP(C62,Metric_Dictionary!$A:$I,4,FALSE),"")</x:f>
      </x:c>
      <x:c r="H62" s="6" t="str">
        <x:f>IFERROR(VLOOKUP(C62,Metric_Dictionary!$A:$I,9,FALSE),"")</x:f>
      </x:c>
      <x:c r="I62" s="6" t="str">
        <x:f>IFERROR(VLOOKUP(C62,Metric_Dictionary!$A:$I,5,FALSE),"")</x:f>
      </x:c>
      <x:c r="J62" s="6" t="str">
        <x:f>IFERROR(VLOOKUP(C62,Metric_Dictionary!$A:$I,6,FALSE),"")</x:f>
      </x:c>
      <x:c r="K62" s="6" t="str">
        <x:f>IFERROR(VLOOKUP(C62,Metric_Dictionary!$A:$I,7,FALSE),"")</x:f>
      </x:c>
    </x:row>
    <x:row r="63" ht="15.75" customHeight="1">
      <x:c r="A63" s="8" t="n">
        <x:f>Dashboard_Values!A64</x:f>
        <x:v>0</x:v>
      </x:c>
      <x:c r="B63" s="6" t="str">
        <x:f>IFERROR(VLOOKUP(C63,Metric_Dictionary!$A:$I,2,FALSE),"")</x:f>
      </x:c>
      <x:c r="C63" s="6" t="n">
        <x:f>Dashboard_Values!B64</x:f>
        <x:v>0</x:v>
      </x:c>
      <x:c r="D63" s="6" t="str">
        <x:f>IFERROR(VLOOKUP(C63,Metric_Dictionary!$A:$I,3,FALSE),"")</x:f>
      </x:c>
      <x:c r="E63" s="6" t="n">
        <x:f>Dashboard_Values!C64</x:f>
        <x:v>0</x:v>
      </x:c>
      <x:c r="F63" s="6" t="str">
        <x:f>IFERROR(VLOOKUP(C63,Metric_Dictionary!$A:$I,8,FALSE),"")</x:f>
      </x:c>
      <x:c r="G63" s="6" t="str">
        <x:f>IFERROR(VLOOKUP(C63,Metric_Dictionary!$A:$I,4,FALSE),"")</x:f>
      </x:c>
      <x:c r="H63" s="6" t="str">
        <x:f>IFERROR(VLOOKUP(C63,Metric_Dictionary!$A:$I,9,FALSE),"")</x:f>
      </x:c>
      <x:c r="I63" s="6" t="str">
        <x:f>IFERROR(VLOOKUP(C63,Metric_Dictionary!$A:$I,5,FALSE),"")</x:f>
      </x:c>
      <x:c r="J63" s="6" t="str">
        <x:f>IFERROR(VLOOKUP(C63,Metric_Dictionary!$A:$I,6,FALSE),"")</x:f>
      </x:c>
      <x:c r="K63" s="6" t="str">
        <x:f>IFERROR(VLOOKUP(C63,Metric_Dictionary!$A:$I,7,FALSE),"")</x:f>
      </x:c>
    </x:row>
    <x:row r="64" ht="15.75" customHeight="1">
      <x:c r="A64" s="8" t="n">
        <x:f>Dashboard_Values!A65</x:f>
        <x:v>0</x:v>
      </x:c>
      <x:c r="B64" s="6" t="str">
        <x:f>IFERROR(VLOOKUP(C64,Metric_Dictionary!$A:$I,2,FALSE),"")</x:f>
      </x:c>
      <x:c r="C64" s="6" t="n">
        <x:f>Dashboard_Values!B65</x:f>
        <x:v>0</x:v>
      </x:c>
      <x:c r="D64" s="6" t="str">
        <x:f>IFERROR(VLOOKUP(C64,Metric_Dictionary!$A:$I,3,FALSE),"")</x:f>
      </x:c>
      <x:c r="E64" s="6" t="n">
        <x:f>Dashboard_Values!C65</x:f>
        <x:v>0</x:v>
      </x:c>
      <x:c r="F64" s="6" t="str">
        <x:f>IFERROR(VLOOKUP(C64,Metric_Dictionary!$A:$I,8,FALSE),"")</x:f>
      </x:c>
      <x:c r="G64" s="6" t="str">
        <x:f>IFERROR(VLOOKUP(C64,Metric_Dictionary!$A:$I,4,FALSE),"")</x:f>
      </x:c>
      <x:c r="H64" s="6" t="str">
        <x:f>IFERROR(VLOOKUP(C64,Metric_Dictionary!$A:$I,9,FALSE),"")</x:f>
      </x:c>
      <x:c r="I64" s="6" t="str">
        <x:f>IFERROR(VLOOKUP(C64,Metric_Dictionary!$A:$I,5,FALSE),"")</x:f>
      </x:c>
      <x:c r="J64" s="6" t="str">
        <x:f>IFERROR(VLOOKUP(C64,Metric_Dictionary!$A:$I,6,FALSE),"")</x:f>
      </x:c>
      <x:c r="K64" s="6" t="str">
        <x:f>IFERROR(VLOOKUP(C64,Metric_Dictionary!$A:$I,7,FALSE),"")</x:f>
      </x:c>
    </x:row>
    <x:row r="65" ht="15.75" customHeight="1">
      <x:c r="A65" s="8" t="n">
        <x:f>Dashboard_Values!A66</x:f>
        <x:v>0</x:v>
      </x:c>
      <x:c r="B65" s="6" t="str">
        <x:f>IFERROR(VLOOKUP(C65,Metric_Dictionary!$A:$I,2,FALSE),"")</x:f>
      </x:c>
      <x:c r="C65" s="6" t="n">
        <x:f>Dashboard_Values!B66</x:f>
        <x:v>0</x:v>
      </x:c>
      <x:c r="D65" s="6" t="str">
        <x:f>IFERROR(VLOOKUP(C65,Metric_Dictionary!$A:$I,3,FALSE),"")</x:f>
      </x:c>
      <x:c r="E65" s="6" t="n">
        <x:f>Dashboard_Values!C66</x:f>
        <x:v>0</x:v>
      </x:c>
      <x:c r="F65" s="6" t="str">
        <x:f>IFERROR(VLOOKUP(C65,Metric_Dictionary!$A:$I,8,FALSE),"")</x:f>
      </x:c>
      <x:c r="G65" s="6" t="str">
        <x:f>IFERROR(VLOOKUP(C65,Metric_Dictionary!$A:$I,4,FALSE),"")</x:f>
      </x:c>
      <x:c r="H65" s="6" t="str">
        <x:f>IFERROR(VLOOKUP(C65,Metric_Dictionary!$A:$I,9,FALSE),"")</x:f>
      </x:c>
      <x:c r="I65" s="6" t="str">
        <x:f>IFERROR(VLOOKUP(C65,Metric_Dictionary!$A:$I,5,FALSE),"")</x:f>
      </x:c>
      <x:c r="J65" s="6" t="str">
        <x:f>IFERROR(VLOOKUP(C65,Metric_Dictionary!$A:$I,6,FALSE),"")</x:f>
      </x:c>
      <x:c r="K65" s="6" t="str">
        <x:f>IFERROR(VLOOKUP(C65,Metric_Dictionary!$A:$I,7,FALSE),"")</x:f>
      </x:c>
    </x:row>
    <x:row r="66" ht="15.75" customHeight="1">
      <x:c r="A66" s="8" t="n">
        <x:f>Dashboard_Values!A67</x:f>
        <x:v>0</x:v>
      </x:c>
      <x:c r="B66" s="6" t="str">
        <x:f>IFERROR(VLOOKUP(C66,Metric_Dictionary!$A:$I,2,FALSE),"")</x:f>
      </x:c>
      <x:c r="C66" s="6" t="n">
        <x:f>Dashboard_Values!B67</x:f>
        <x:v>0</x:v>
      </x:c>
      <x:c r="D66" s="6" t="str">
        <x:f>IFERROR(VLOOKUP(C66,Metric_Dictionary!$A:$I,3,FALSE),"")</x:f>
      </x:c>
      <x:c r="E66" s="6" t="n">
        <x:f>Dashboard_Values!C67</x:f>
        <x:v>0</x:v>
      </x:c>
      <x:c r="F66" s="6" t="str">
        <x:f>IFERROR(VLOOKUP(C66,Metric_Dictionary!$A:$I,8,FALSE),"")</x:f>
      </x:c>
      <x:c r="G66" s="6" t="str">
        <x:f>IFERROR(VLOOKUP(C66,Metric_Dictionary!$A:$I,4,FALSE),"")</x:f>
      </x:c>
      <x:c r="H66" s="6" t="str">
        <x:f>IFERROR(VLOOKUP(C66,Metric_Dictionary!$A:$I,9,FALSE),"")</x:f>
      </x:c>
      <x:c r="I66" s="6" t="str">
        <x:f>IFERROR(VLOOKUP(C66,Metric_Dictionary!$A:$I,5,FALSE),"")</x:f>
      </x:c>
      <x:c r="J66" s="6" t="str">
        <x:f>IFERROR(VLOOKUP(C66,Metric_Dictionary!$A:$I,6,FALSE),"")</x:f>
      </x:c>
      <x:c r="K66" s="6" t="str">
        <x:f>IFERROR(VLOOKUP(C66,Metric_Dictionary!$A:$I,7,FALSE),"")</x:f>
      </x:c>
    </x:row>
    <x:row r="67" ht="15.75" customHeight="1">
      <x:c r="A67" s="8" t="n">
        <x:f>Dashboard_Values!A68</x:f>
        <x:v>0</x:v>
      </x:c>
      <x:c r="B67" s="6" t="str">
        <x:f>IFERROR(VLOOKUP(C67,Metric_Dictionary!$A:$I,2,FALSE),"")</x:f>
      </x:c>
      <x:c r="C67" s="6" t="n">
        <x:f>Dashboard_Values!B68</x:f>
        <x:v>0</x:v>
      </x:c>
      <x:c r="D67" s="6" t="str">
        <x:f>IFERROR(VLOOKUP(C67,Metric_Dictionary!$A:$I,3,FALSE),"")</x:f>
      </x:c>
      <x:c r="E67" s="6" t="n">
        <x:f>Dashboard_Values!C68</x:f>
        <x:v>0</x:v>
      </x:c>
      <x:c r="F67" s="6" t="str">
        <x:f>IFERROR(VLOOKUP(C67,Metric_Dictionary!$A:$I,8,FALSE),"")</x:f>
      </x:c>
      <x:c r="G67" s="6" t="str">
        <x:f>IFERROR(VLOOKUP(C67,Metric_Dictionary!$A:$I,4,FALSE),"")</x:f>
      </x:c>
      <x:c r="H67" s="6" t="str">
        <x:f>IFERROR(VLOOKUP(C67,Metric_Dictionary!$A:$I,9,FALSE),"")</x:f>
      </x:c>
      <x:c r="I67" s="6" t="str">
        <x:f>IFERROR(VLOOKUP(C67,Metric_Dictionary!$A:$I,5,FALSE),"")</x:f>
      </x:c>
      <x:c r="J67" s="6" t="str">
        <x:f>IFERROR(VLOOKUP(C67,Metric_Dictionary!$A:$I,6,FALSE),"")</x:f>
      </x:c>
      <x:c r="K67" s="6" t="str">
        <x:f>IFERROR(VLOOKUP(C67,Metric_Dictionary!$A:$I,7,FALSE),"")</x:f>
      </x:c>
    </x:row>
    <x:row r="68" ht="15.75" customHeight="1">
      <x:c r="A68" s="8" t="n">
        <x:f>Dashboard_Values!A69</x:f>
        <x:v>0</x:v>
      </x:c>
      <x:c r="B68" s="6" t="str">
        <x:f>IFERROR(VLOOKUP(C68,Metric_Dictionary!$A:$I,2,FALSE),"")</x:f>
      </x:c>
      <x:c r="C68" s="6" t="n">
        <x:f>Dashboard_Values!B69</x:f>
        <x:v>0</x:v>
      </x:c>
      <x:c r="D68" s="6" t="str">
        <x:f>IFERROR(VLOOKUP(C68,Metric_Dictionary!$A:$I,3,FALSE),"")</x:f>
      </x:c>
      <x:c r="E68" s="6" t="n">
        <x:f>Dashboard_Values!C69</x:f>
        <x:v>0</x:v>
      </x:c>
      <x:c r="F68" s="6" t="str">
        <x:f>IFERROR(VLOOKUP(C68,Metric_Dictionary!$A:$I,8,FALSE),"")</x:f>
      </x:c>
      <x:c r="G68" s="6" t="str">
        <x:f>IFERROR(VLOOKUP(C68,Metric_Dictionary!$A:$I,4,FALSE),"")</x:f>
      </x:c>
      <x:c r="H68" s="6" t="str">
        <x:f>IFERROR(VLOOKUP(C68,Metric_Dictionary!$A:$I,9,FALSE),"")</x:f>
      </x:c>
      <x:c r="I68" s="6" t="str">
        <x:f>IFERROR(VLOOKUP(C68,Metric_Dictionary!$A:$I,5,FALSE),"")</x:f>
      </x:c>
      <x:c r="J68" s="6" t="str">
        <x:f>IFERROR(VLOOKUP(C68,Metric_Dictionary!$A:$I,6,FALSE),"")</x:f>
      </x:c>
      <x:c r="K68" s="6" t="str">
        <x:f>IFERROR(VLOOKUP(C68,Metric_Dictionary!$A:$I,7,FALSE),"")</x:f>
      </x:c>
    </x:row>
    <x:row r="69" ht="15.75" customHeight="1">
      <x:c r="A69" s="8" t="n">
        <x:f>Dashboard_Values!A70</x:f>
        <x:v>0</x:v>
      </x:c>
      <x:c r="B69" s="6" t="str">
        <x:f>IFERROR(VLOOKUP(C69,Metric_Dictionary!$A:$I,2,FALSE),"")</x:f>
      </x:c>
      <x:c r="C69" s="6" t="n">
        <x:f>Dashboard_Values!B70</x:f>
        <x:v>0</x:v>
      </x:c>
      <x:c r="D69" s="6" t="str">
        <x:f>IFERROR(VLOOKUP(C69,Metric_Dictionary!$A:$I,3,FALSE),"")</x:f>
      </x:c>
      <x:c r="E69" s="6" t="n">
        <x:f>Dashboard_Values!C70</x:f>
        <x:v>0</x:v>
      </x:c>
      <x:c r="F69" s="6" t="str">
        <x:f>IFERROR(VLOOKUP(C69,Metric_Dictionary!$A:$I,8,FALSE),"")</x:f>
      </x:c>
      <x:c r="G69" s="6" t="str">
        <x:f>IFERROR(VLOOKUP(C69,Metric_Dictionary!$A:$I,4,FALSE),"")</x:f>
      </x:c>
      <x:c r="H69" s="6" t="str">
        <x:f>IFERROR(VLOOKUP(C69,Metric_Dictionary!$A:$I,9,FALSE),"")</x:f>
      </x:c>
      <x:c r="I69" s="6" t="str">
        <x:f>IFERROR(VLOOKUP(C69,Metric_Dictionary!$A:$I,5,FALSE),"")</x:f>
      </x:c>
      <x:c r="J69" s="6" t="str">
        <x:f>IFERROR(VLOOKUP(C69,Metric_Dictionary!$A:$I,6,FALSE),"")</x:f>
      </x:c>
      <x:c r="K69" s="6" t="str">
        <x:f>IFERROR(VLOOKUP(C69,Metric_Dictionary!$A:$I,7,FALSE),"")</x:f>
      </x:c>
    </x:row>
    <x:row r="70" ht="15.75" customHeight="1">
      <x:c r="A70" s="8" t="n">
        <x:f>Dashboard_Values!A71</x:f>
        <x:v>0</x:v>
      </x:c>
      <x:c r="B70" s="6" t="str">
        <x:f>IFERROR(VLOOKUP(C70,Metric_Dictionary!$A:$I,2,FALSE),"")</x:f>
      </x:c>
      <x:c r="C70" s="6" t="n">
        <x:f>Dashboard_Values!B71</x:f>
        <x:v>0</x:v>
      </x:c>
      <x:c r="D70" s="6" t="str">
        <x:f>IFERROR(VLOOKUP(C70,Metric_Dictionary!$A:$I,3,FALSE),"")</x:f>
      </x:c>
      <x:c r="E70" s="6" t="n">
        <x:f>Dashboard_Values!C71</x:f>
        <x:v>0</x:v>
      </x:c>
      <x:c r="F70" s="6" t="str">
        <x:f>IFERROR(VLOOKUP(C70,Metric_Dictionary!$A:$I,8,FALSE),"")</x:f>
      </x:c>
      <x:c r="G70" s="6" t="str">
        <x:f>IFERROR(VLOOKUP(C70,Metric_Dictionary!$A:$I,4,FALSE),"")</x:f>
      </x:c>
      <x:c r="H70" s="6" t="str">
        <x:f>IFERROR(VLOOKUP(C70,Metric_Dictionary!$A:$I,9,FALSE),"")</x:f>
      </x:c>
      <x:c r="I70" s="6" t="str">
        <x:f>IFERROR(VLOOKUP(C70,Metric_Dictionary!$A:$I,5,FALSE),"")</x:f>
      </x:c>
      <x:c r="J70" s="6" t="str">
        <x:f>IFERROR(VLOOKUP(C70,Metric_Dictionary!$A:$I,6,FALSE),"")</x:f>
      </x:c>
      <x:c r="K70" s="6" t="str">
        <x:f>IFERROR(VLOOKUP(C70,Metric_Dictionary!$A:$I,7,FALSE),"")</x:f>
      </x:c>
    </x:row>
    <x:row r="71" ht="15.75" customHeight="1">
      <x:c r="A71" s="8" t="n">
        <x:f>Dashboard_Values!A72</x:f>
        <x:v>0</x:v>
      </x:c>
      <x:c r="B71" s="6" t="str">
        <x:f>IFERROR(VLOOKUP(C71,Metric_Dictionary!$A:$I,2,FALSE),"")</x:f>
      </x:c>
      <x:c r="C71" s="6" t="n">
        <x:f>Dashboard_Values!B72</x:f>
        <x:v>0</x:v>
      </x:c>
      <x:c r="D71" s="6" t="str">
        <x:f>IFERROR(VLOOKUP(C71,Metric_Dictionary!$A:$I,3,FALSE),"")</x:f>
      </x:c>
      <x:c r="E71" s="6" t="n">
        <x:f>Dashboard_Values!C72</x:f>
        <x:v>0</x:v>
      </x:c>
      <x:c r="F71" s="6" t="str">
        <x:f>IFERROR(VLOOKUP(C71,Metric_Dictionary!$A:$I,8,FALSE),"")</x:f>
      </x:c>
      <x:c r="G71" s="6" t="str">
        <x:f>IFERROR(VLOOKUP(C71,Metric_Dictionary!$A:$I,4,FALSE),"")</x:f>
      </x:c>
      <x:c r="H71" s="6" t="str">
        <x:f>IFERROR(VLOOKUP(C71,Metric_Dictionary!$A:$I,9,FALSE),"")</x:f>
      </x:c>
      <x:c r="I71" s="6" t="str">
        <x:f>IFERROR(VLOOKUP(C71,Metric_Dictionary!$A:$I,5,FALSE),"")</x:f>
      </x:c>
      <x:c r="J71" s="6" t="str">
        <x:f>IFERROR(VLOOKUP(C71,Metric_Dictionary!$A:$I,6,FALSE),"")</x:f>
      </x:c>
      <x:c r="K71" s="6" t="str">
        <x:f>IFERROR(VLOOKUP(C71,Metric_Dictionary!$A:$I,7,FALSE),"")</x:f>
      </x:c>
    </x:row>
    <x:row r="72" ht="15.75" customHeight="1">
      <x:c r="A72" s="8" t="n">
        <x:f>Dashboard_Values!A73</x:f>
        <x:v>0</x:v>
      </x:c>
      <x:c r="B72" s="6" t="str">
        <x:f>IFERROR(VLOOKUP(C72,Metric_Dictionary!$A:$I,2,FALSE),"")</x:f>
      </x:c>
      <x:c r="C72" s="6" t="n">
        <x:f>Dashboard_Values!B73</x:f>
        <x:v>0</x:v>
      </x:c>
      <x:c r="D72" s="6" t="str">
        <x:f>IFERROR(VLOOKUP(C72,Metric_Dictionary!$A:$I,3,FALSE),"")</x:f>
      </x:c>
      <x:c r="E72" s="6" t="n">
        <x:f>Dashboard_Values!C73</x:f>
        <x:v>0</x:v>
      </x:c>
      <x:c r="F72" s="6" t="str">
        <x:f>IFERROR(VLOOKUP(C72,Metric_Dictionary!$A:$I,8,FALSE),"")</x:f>
      </x:c>
      <x:c r="G72" s="6" t="str">
        <x:f>IFERROR(VLOOKUP(C72,Metric_Dictionary!$A:$I,4,FALSE),"")</x:f>
      </x:c>
      <x:c r="H72" s="6" t="str">
        <x:f>IFERROR(VLOOKUP(C72,Metric_Dictionary!$A:$I,9,FALSE),"")</x:f>
      </x:c>
      <x:c r="I72" s="6" t="str">
        <x:f>IFERROR(VLOOKUP(C72,Metric_Dictionary!$A:$I,5,FALSE),"")</x:f>
      </x:c>
      <x:c r="J72" s="6" t="str">
        <x:f>IFERROR(VLOOKUP(C72,Metric_Dictionary!$A:$I,6,FALSE),"")</x:f>
      </x:c>
      <x:c r="K72" s="6" t="str">
        <x:f>IFERROR(VLOOKUP(C72,Metric_Dictionary!$A:$I,7,FALSE),"")</x:f>
      </x:c>
    </x:row>
    <x:row r="73" ht="15.75" customHeight="1">
      <x:c r="A73" s="8" t="n">
        <x:f>Dashboard_Values!A74</x:f>
        <x:v>0</x:v>
      </x:c>
      <x:c r="B73" s="6" t="str">
        <x:f>IFERROR(VLOOKUP(C73,Metric_Dictionary!$A:$I,2,FALSE),"")</x:f>
      </x:c>
      <x:c r="C73" s="6" t="n">
        <x:f>Dashboard_Values!B74</x:f>
        <x:v>0</x:v>
      </x:c>
      <x:c r="D73" s="6" t="str">
        <x:f>IFERROR(VLOOKUP(C73,Metric_Dictionary!$A:$I,3,FALSE),"")</x:f>
      </x:c>
      <x:c r="E73" s="6" t="n">
        <x:f>Dashboard_Values!C74</x:f>
        <x:v>0</x:v>
      </x:c>
      <x:c r="F73" s="6" t="str">
        <x:f>IFERROR(VLOOKUP(C73,Metric_Dictionary!$A:$I,8,FALSE),"")</x:f>
      </x:c>
      <x:c r="G73" s="6" t="str">
        <x:f>IFERROR(VLOOKUP(C73,Metric_Dictionary!$A:$I,4,FALSE),"")</x:f>
      </x:c>
      <x:c r="H73" s="6" t="str">
        <x:f>IFERROR(VLOOKUP(C73,Metric_Dictionary!$A:$I,9,FALSE),"")</x:f>
      </x:c>
      <x:c r="I73" s="6" t="str">
        <x:f>IFERROR(VLOOKUP(C73,Metric_Dictionary!$A:$I,5,FALSE),"")</x:f>
      </x:c>
      <x:c r="J73" s="6" t="str">
        <x:f>IFERROR(VLOOKUP(C73,Metric_Dictionary!$A:$I,6,FALSE),"")</x:f>
      </x:c>
      <x:c r="K73" s="6" t="str">
        <x:f>IFERROR(VLOOKUP(C73,Metric_Dictionary!$A:$I,7,FALSE),"")</x:f>
      </x:c>
    </x:row>
    <x:row r="74" ht="15.75" customHeight="1">
      <x:c r="A74" s="8" t="n">
        <x:f>Dashboard_Values!A75</x:f>
        <x:v>0</x:v>
      </x:c>
      <x:c r="B74" s="6" t="str">
        <x:f>IFERROR(VLOOKUP(C74,Metric_Dictionary!$A:$I,2,FALSE),"")</x:f>
      </x:c>
      <x:c r="C74" s="6" t="n">
        <x:f>Dashboard_Values!B75</x:f>
        <x:v>0</x:v>
      </x:c>
      <x:c r="D74" s="6" t="str">
        <x:f>IFERROR(VLOOKUP(C74,Metric_Dictionary!$A:$I,3,FALSE),"")</x:f>
      </x:c>
      <x:c r="E74" s="6" t="n">
        <x:f>Dashboard_Values!C75</x:f>
        <x:v>0</x:v>
      </x:c>
      <x:c r="F74" s="6" t="str">
        <x:f>IFERROR(VLOOKUP(C74,Metric_Dictionary!$A:$I,8,FALSE),"")</x:f>
      </x:c>
      <x:c r="G74" s="6" t="str">
        <x:f>IFERROR(VLOOKUP(C74,Metric_Dictionary!$A:$I,4,FALSE),"")</x:f>
      </x:c>
      <x:c r="H74" s="6" t="str">
        <x:f>IFERROR(VLOOKUP(C74,Metric_Dictionary!$A:$I,9,FALSE),"")</x:f>
      </x:c>
      <x:c r="I74" s="6" t="str">
        <x:f>IFERROR(VLOOKUP(C74,Metric_Dictionary!$A:$I,5,FALSE),"")</x:f>
      </x:c>
      <x:c r="J74" s="6" t="str">
        <x:f>IFERROR(VLOOKUP(C74,Metric_Dictionary!$A:$I,6,FALSE),"")</x:f>
      </x:c>
      <x:c r="K74" s="6" t="str">
        <x:f>IFERROR(VLOOKUP(C74,Metric_Dictionary!$A:$I,7,FALSE),"")</x:f>
      </x:c>
    </x:row>
    <x:row r="75" ht="15.75" customHeight="1">
      <x:c r="A75" s="8" t="n">
        <x:f>Dashboard_Values!A76</x:f>
        <x:v>0</x:v>
      </x:c>
      <x:c r="B75" s="6" t="str">
        <x:f>IFERROR(VLOOKUP(C75,Metric_Dictionary!$A:$I,2,FALSE),"")</x:f>
      </x:c>
      <x:c r="C75" s="6" t="n">
        <x:f>Dashboard_Values!B76</x:f>
        <x:v>0</x:v>
      </x:c>
      <x:c r="D75" s="6" t="str">
        <x:f>IFERROR(VLOOKUP(C75,Metric_Dictionary!$A:$I,3,FALSE),"")</x:f>
      </x:c>
      <x:c r="E75" s="6" t="n">
        <x:f>Dashboard_Values!C76</x:f>
        <x:v>0</x:v>
      </x:c>
      <x:c r="F75" s="6" t="str">
        <x:f>IFERROR(VLOOKUP(C75,Metric_Dictionary!$A:$I,8,FALSE),"")</x:f>
      </x:c>
      <x:c r="G75" s="6" t="str">
        <x:f>IFERROR(VLOOKUP(C75,Metric_Dictionary!$A:$I,4,FALSE),"")</x:f>
      </x:c>
      <x:c r="H75" s="6" t="str">
        <x:f>IFERROR(VLOOKUP(C75,Metric_Dictionary!$A:$I,9,FALSE),"")</x:f>
      </x:c>
      <x:c r="I75" s="6" t="str">
        <x:f>IFERROR(VLOOKUP(C75,Metric_Dictionary!$A:$I,5,FALSE),"")</x:f>
      </x:c>
      <x:c r="J75" s="6" t="str">
        <x:f>IFERROR(VLOOKUP(C75,Metric_Dictionary!$A:$I,6,FALSE),"")</x:f>
      </x:c>
      <x:c r="K75" s="6" t="str">
        <x:f>IFERROR(VLOOKUP(C75,Metric_Dictionary!$A:$I,7,FALSE),"")</x:f>
      </x:c>
    </x:row>
    <x:row r="76" ht="15.75" customHeight="1">
      <x:c r="A76" s="8" t="n">
        <x:f>Dashboard_Values!A77</x:f>
        <x:v>0</x:v>
      </x:c>
      <x:c r="B76" s="6" t="str">
        <x:f>IFERROR(VLOOKUP(C76,Metric_Dictionary!$A:$I,2,FALSE),"")</x:f>
      </x:c>
      <x:c r="C76" s="6" t="n">
        <x:f>Dashboard_Values!B77</x:f>
        <x:v>0</x:v>
      </x:c>
      <x:c r="D76" s="6" t="str">
        <x:f>IFERROR(VLOOKUP(C76,Metric_Dictionary!$A:$I,3,FALSE),"")</x:f>
      </x:c>
      <x:c r="E76" s="6" t="n">
        <x:f>Dashboard_Values!C77</x:f>
        <x:v>0</x:v>
      </x:c>
      <x:c r="F76" s="6" t="str">
        <x:f>IFERROR(VLOOKUP(C76,Metric_Dictionary!$A:$I,8,FALSE),"")</x:f>
      </x:c>
      <x:c r="G76" s="6" t="str">
        <x:f>IFERROR(VLOOKUP(C76,Metric_Dictionary!$A:$I,4,FALSE),"")</x:f>
      </x:c>
      <x:c r="H76" s="6" t="str">
        <x:f>IFERROR(VLOOKUP(C76,Metric_Dictionary!$A:$I,9,FALSE),"")</x:f>
      </x:c>
      <x:c r="I76" s="6" t="str">
        <x:f>IFERROR(VLOOKUP(C76,Metric_Dictionary!$A:$I,5,FALSE),"")</x:f>
      </x:c>
      <x:c r="J76" s="6" t="str">
        <x:f>IFERROR(VLOOKUP(C76,Metric_Dictionary!$A:$I,6,FALSE),"")</x:f>
      </x:c>
      <x:c r="K76" s="6" t="str">
        <x:f>IFERROR(VLOOKUP(C76,Metric_Dictionary!$A:$I,7,FALSE),"")</x:f>
      </x:c>
    </x:row>
    <x:row r="77" ht="15.75" customHeight="1">
      <x:c r="A77" s="8" t="n">
        <x:f>Dashboard_Values!A78</x:f>
        <x:v>0</x:v>
      </x:c>
      <x:c r="B77" s="6" t="str">
        <x:f>IFERROR(VLOOKUP(C77,Metric_Dictionary!$A:$I,2,FALSE),"")</x:f>
      </x:c>
      <x:c r="C77" s="6" t="n">
        <x:f>Dashboard_Values!B78</x:f>
        <x:v>0</x:v>
      </x:c>
      <x:c r="D77" s="6" t="str">
        <x:f>IFERROR(VLOOKUP(C77,Metric_Dictionary!$A:$I,3,FALSE),"")</x:f>
      </x:c>
      <x:c r="E77" s="6" t="n">
        <x:f>Dashboard_Values!C78</x:f>
        <x:v>0</x:v>
      </x:c>
      <x:c r="F77" s="6" t="str">
        <x:f>IFERROR(VLOOKUP(C77,Metric_Dictionary!$A:$I,8,FALSE),"")</x:f>
      </x:c>
      <x:c r="G77" s="6" t="str">
        <x:f>IFERROR(VLOOKUP(C77,Metric_Dictionary!$A:$I,4,FALSE),"")</x:f>
      </x:c>
      <x:c r="H77" s="6" t="str">
        <x:f>IFERROR(VLOOKUP(C77,Metric_Dictionary!$A:$I,9,FALSE),"")</x:f>
      </x:c>
      <x:c r="I77" s="6" t="str">
        <x:f>IFERROR(VLOOKUP(C77,Metric_Dictionary!$A:$I,5,FALSE),"")</x:f>
      </x:c>
      <x:c r="J77" s="6" t="str">
        <x:f>IFERROR(VLOOKUP(C77,Metric_Dictionary!$A:$I,6,FALSE),"")</x:f>
      </x:c>
      <x:c r="K77" s="6" t="str">
        <x:f>IFERROR(VLOOKUP(C77,Metric_Dictionary!$A:$I,7,FALSE),"")</x:f>
      </x:c>
    </x:row>
    <x:row r="78" ht="15.75" customHeight="1">
      <x:c r="A78" s="8" t="n">
        <x:f>Dashboard_Values!A79</x:f>
        <x:v>0</x:v>
      </x:c>
      <x:c r="B78" s="6" t="str">
        <x:f>IFERROR(VLOOKUP(C78,Metric_Dictionary!$A:$I,2,FALSE),"")</x:f>
      </x:c>
      <x:c r="C78" s="6" t="n">
        <x:f>Dashboard_Values!B79</x:f>
        <x:v>0</x:v>
      </x:c>
      <x:c r="D78" s="6" t="str">
        <x:f>IFERROR(VLOOKUP(C78,Metric_Dictionary!$A:$I,3,FALSE),"")</x:f>
      </x:c>
      <x:c r="E78" s="6" t="n">
        <x:f>Dashboard_Values!C79</x:f>
        <x:v>0</x:v>
      </x:c>
      <x:c r="F78" s="6" t="str">
        <x:f>IFERROR(VLOOKUP(C78,Metric_Dictionary!$A:$I,8,FALSE),"")</x:f>
      </x:c>
      <x:c r="G78" s="6" t="str">
        <x:f>IFERROR(VLOOKUP(C78,Metric_Dictionary!$A:$I,4,FALSE),"")</x:f>
      </x:c>
      <x:c r="H78" s="6" t="str">
        <x:f>IFERROR(VLOOKUP(C78,Metric_Dictionary!$A:$I,9,FALSE),"")</x:f>
      </x:c>
      <x:c r="I78" s="6" t="str">
        <x:f>IFERROR(VLOOKUP(C78,Metric_Dictionary!$A:$I,5,FALSE),"")</x:f>
      </x:c>
      <x:c r="J78" s="6" t="str">
        <x:f>IFERROR(VLOOKUP(C78,Metric_Dictionary!$A:$I,6,FALSE),"")</x:f>
      </x:c>
      <x:c r="K78" s="6" t="str">
        <x:f>IFERROR(VLOOKUP(C78,Metric_Dictionary!$A:$I,7,FALSE),"")</x:f>
      </x:c>
    </x:row>
    <x:row r="79" ht="15.75" customHeight="1">
      <x:c r="A79" s="8" t="n">
        <x:f>Dashboard_Values!A80</x:f>
        <x:v>0</x:v>
      </x:c>
      <x:c r="B79" s="6" t="str">
        <x:f>IFERROR(VLOOKUP(C79,Metric_Dictionary!$A:$I,2,FALSE),"")</x:f>
      </x:c>
      <x:c r="C79" s="6" t="n">
        <x:f>Dashboard_Values!B80</x:f>
        <x:v>0</x:v>
      </x:c>
      <x:c r="D79" s="6" t="str">
        <x:f>IFERROR(VLOOKUP(C79,Metric_Dictionary!$A:$I,3,FALSE),"")</x:f>
      </x:c>
      <x:c r="E79" s="6" t="n">
        <x:f>Dashboard_Values!C80</x:f>
        <x:v>0</x:v>
      </x:c>
      <x:c r="F79" s="6" t="str">
        <x:f>IFERROR(VLOOKUP(C79,Metric_Dictionary!$A:$I,8,FALSE),"")</x:f>
      </x:c>
      <x:c r="G79" s="6" t="str">
        <x:f>IFERROR(VLOOKUP(C79,Metric_Dictionary!$A:$I,4,FALSE),"")</x:f>
      </x:c>
      <x:c r="H79" s="6" t="str">
        <x:f>IFERROR(VLOOKUP(C79,Metric_Dictionary!$A:$I,9,FALSE),"")</x:f>
      </x:c>
      <x:c r="I79" s="6" t="str">
        <x:f>IFERROR(VLOOKUP(C79,Metric_Dictionary!$A:$I,5,FALSE),"")</x:f>
      </x:c>
      <x:c r="J79" s="6" t="str">
        <x:f>IFERROR(VLOOKUP(C79,Metric_Dictionary!$A:$I,6,FALSE),"")</x:f>
      </x:c>
      <x:c r="K79" s="6" t="str">
        <x:f>IFERROR(VLOOKUP(C79,Metric_Dictionary!$A:$I,7,FALSE),"")</x:f>
      </x:c>
    </x:row>
    <x:row r="80" ht="15.75" customHeight="1">
      <x:c r="A80" s="8" t="n">
        <x:f>Dashboard_Values!A81</x:f>
        <x:v>0</x:v>
      </x:c>
      <x:c r="B80" s="6" t="str">
        <x:f>IFERROR(VLOOKUP(C80,Metric_Dictionary!$A:$I,2,FALSE),"")</x:f>
      </x:c>
      <x:c r="C80" s="6" t="n">
        <x:f>Dashboard_Values!B81</x:f>
        <x:v>0</x:v>
      </x:c>
      <x:c r="D80" s="6" t="str">
        <x:f>IFERROR(VLOOKUP(C80,Metric_Dictionary!$A:$I,3,FALSE),"")</x:f>
      </x:c>
      <x:c r="E80" s="6" t="n">
        <x:f>Dashboard_Values!C81</x:f>
        <x:v>0</x:v>
      </x:c>
      <x:c r="F80" s="6" t="str">
        <x:f>IFERROR(VLOOKUP(C80,Metric_Dictionary!$A:$I,8,FALSE),"")</x:f>
      </x:c>
      <x:c r="G80" s="6" t="str">
        <x:f>IFERROR(VLOOKUP(C80,Metric_Dictionary!$A:$I,4,FALSE),"")</x:f>
      </x:c>
      <x:c r="H80" s="6" t="str">
        <x:f>IFERROR(VLOOKUP(C80,Metric_Dictionary!$A:$I,9,FALSE),"")</x:f>
      </x:c>
      <x:c r="I80" s="6" t="str">
        <x:f>IFERROR(VLOOKUP(C80,Metric_Dictionary!$A:$I,5,FALSE),"")</x:f>
      </x:c>
      <x:c r="J80" s="6" t="str">
        <x:f>IFERROR(VLOOKUP(C80,Metric_Dictionary!$A:$I,6,FALSE),"")</x:f>
      </x:c>
      <x:c r="K80" s="6" t="str">
        <x:f>IFERROR(VLOOKUP(C80,Metric_Dictionary!$A:$I,7,FALSE),"")</x:f>
      </x:c>
    </x:row>
    <x:row r="81" ht="15.75" customHeight="1">
      <x:c r="A81" s="8" t="n">
        <x:f>Dashboard_Values!A82</x:f>
        <x:v>0</x:v>
      </x:c>
      <x:c r="B81" s="6" t="str">
        <x:f>IFERROR(VLOOKUP(C81,Metric_Dictionary!$A:$I,2,FALSE),"")</x:f>
      </x:c>
      <x:c r="C81" s="6" t="n">
        <x:f>Dashboard_Values!B82</x:f>
        <x:v>0</x:v>
      </x:c>
      <x:c r="D81" s="6" t="str">
        <x:f>IFERROR(VLOOKUP(C81,Metric_Dictionary!$A:$I,3,FALSE),"")</x:f>
      </x:c>
      <x:c r="E81" s="6" t="n">
        <x:f>Dashboard_Values!C82</x:f>
        <x:v>0</x:v>
      </x:c>
      <x:c r="F81" s="6" t="str">
        <x:f>IFERROR(VLOOKUP(C81,Metric_Dictionary!$A:$I,8,FALSE),"")</x:f>
      </x:c>
      <x:c r="G81" s="6" t="str">
        <x:f>IFERROR(VLOOKUP(C81,Metric_Dictionary!$A:$I,4,FALSE),"")</x:f>
      </x:c>
      <x:c r="H81" s="6" t="str">
        <x:f>IFERROR(VLOOKUP(C81,Metric_Dictionary!$A:$I,9,FALSE),"")</x:f>
      </x:c>
      <x:c r="I81" s="6" t="str">
        <x:f>IFERROR(VLOOKUP(C81,Metric_Dictionary!$A:$I,5,FALSE),"")</x:f>
      </x:c>
      <x:c r="J81" s="6" t="str">
        <x:f>IFERROR(VLOOKUP(C81,Metric_Dictionary!$A:$I,6,FALSE),"")</x:f>
      </x:c>
      <x:c r="K81" s="6" t="str">
        <x:f>IFERROR(VLOOKUP(C81,Metric_Dictionary!$A:$I,7,FALSE),"")</x:f>
      </x:c>
    </x:row>
    <x:row r="82" ht="15.75" customHeight="1">
      <x:c r="A82" s="8" t="n">
        <x:f>Dashboard_Values!A83</x:f>
        <x:v>0</x:v>
      </x:c>
      <x:c r="B82" s="6" t="str">
        <x:f>IFERROR(VLOOKUP(C82,Metric_Dictionary!$A:$I,2,FALSE),"")</x:f>
      </x:c>
      <x:c r="C82" s="6" t="n">
        <x:f>Dashboard_Values!B83</x:f>
        <x:v>0</x:v>
      </x:c>
      <x:c r="D82" s="6" t="str">
        <x:f>IFERROR(VLOOKUP(C82,Metric_Dictionary!$A:$I,3,FALSE),"")</x:f>
      </x:c>
      <x:c r="E82" s="6" t="n">
        <x:f>Dashboard_Values!C83</x:f>
        <x:v>0</x:v>
      </x:c>
      <x:c r="F82" s="6" t="str">
        <x:f>IFERROR(VLOOKUP(C82,Metric_Dictionary!$A:$I,8,FALSE),"")</x:f>
      </x:c>
      <x:c r="G82" s="6" t="str">
        <x:f>IFERROR(VLOOKUP(C82,Metric_Dictionary!$A:$I,4,FALSE),"")</x:f>
      </x:c>
      <x:c r="H82" s="6" t="str">
        <x:f>IFERROR(VLOOKUP(C82,Metric_Dictionary!$A:$I,9,FALSE),"")</x:f>
      </x:c>
      <x:c r="I82" s="6" t="str">
        <x:f>IFERROR(VLOOKUP(C82,Metric_Dictionary!$A:$I,5,FALSE),"")</x:f>
      </x:c>
      <x:c r="J82" s="6" t="str">
        <x:f>IFERROR(VLOOKUP(C82,Metric_Dictionary!$A:$I,6,FALSE),"")</x:f>
      </x:c>
      <x:c r="K82" s="6" t="str">
        <x:f>IFERROR(VLOOKUP(C82,Metric_Dictionary!$A:$I,7,FALSE),"")</x:f>
      </x:c>
    </x:row>
    <x:row r="83" ht="15.75" customHeight="1">
      <x:c r="A83" s="8" t="n">
        <x:f>Dashboard_Values!A84</x:f>
        <x:v>0</x:v>
      </x:c>
      <x:c r="B83" s="6" t="str">
        <x:f>IFERROR(VLOOKUP(C83,Metric_Dictionary!$A:$I,2,FALSE),"")</x:f>
      </x:c>
      <x:c r="C83" s="6" t="n">
        <x:f>Dashboard_Values!B84</x:f>
        <x:v>0</x:v>
      </x:c>
      <x:c r="D83" s="6" t="str">
        <x:f>IFERROR(VLOOKUP(C83,Metric_Dictionary!$A:$I,3,FALSE),"")</x:f>
      </x:c>
      <x:c r="E83" s="6" t="n">
        <x:f>Dashboard_Values!C84</x:f>
        <x:v>0</x:v>
      </x:c>
      <x:c r="F83" s="6" t="str">
        <x:f>IFERROR(VLOOKUP(C83,Metric_Dictionary!$A:$I,8,FALSE),"")</x:f>
      </x:c>
      <x:c r="G83" s="6" t="str">
        <x:f>IFERROR(VLOOKUP(C83,Metric_Dictionary!$A:$I,4,FALSE),"")</x:f>
      </x:c>
      <x:c r="H83" s="6" t="str">
        <x:f>IFERROR(VLOOKUP(C83,Metric_Dictionary!$A:$I,9,FALSE),"")</x:f>
      </x:c>
      <x:c r="I83" s="6" t="str">
        <x:f>IFERROR(VLOOKUP(C83,Metric_Dictionary!$A:$I,5,FALSE),"")</x:f>
      </x:c>
      <x:c r="J83" s="6" t="str">
        <x:f>IFERROR(VLOOKUP(C83,Metric_Dictionary!$A:$I,6,FALSE),"")</x:f>
      </x:c>
      <x:c r="K83" s="6" t="str">
        <x:f>IFERROR(VLOOKUP(C83,Metric_Dictionary!$A:$I,7,FALSE),"")</x:f>
      </x:c>
    </x:row>
    <x:row r="84" ht="15.75" customHeight="1">
      <x:c r="A84" s="8" t="n">
        <x:f>Dashboard_Values!A85</x:f>
        <x:v>0</x:v>
      </x:c>
      <x:c r="B84" s="6" t="str">
        <x:f>IFERROR(VLOOKUP(C84,Metric_Dictionary!$A:$I,2,FALSE),"")</x:f>
      </x:c>
      <x:c r="C84" s="6" t="n">
        <x:f>Dashboard_Values!B85</x:f>
        <x:v>0</x:v>
      </x:c>
      <x:c r="D84" s="6" t="str">
        <x:f>IFERROR(VLOOKUP(C84,Metric_Dictionary!$A:$I,3,FALSE),"")</x:f>
      </x:c>
      <x:c r="E84" s="6" t="n">
        <x:f>Dashboard_Values!C85</x:f>
        <x:v>0</x:v>
      </x:c>
      <x:c r="F84" s="6" t="str">
        <x:f>IFERROR(VLOOKUP(C84,Metric_Dictionary!$A:$I,8,FALSE),"")</x:f>
      </x:c>
      <x:c r="G84" s="6" t="str">
        <x:f>IFERROR(VLOOKUP(C84,Metric_Dictionary!$A:$I,4,FALSE),"")</x:f>
      </x:c>
      <x:c r="H84" s="6" t="str">
        <x:f>IFERROR(VLOOKUP(C84,Metric_Dictionary!$A:$I,9,FALSE),"")</x:f>
      </x:c>
      <x:c r="I84" s="6" t="str">
        <x:f>IFERROR(VLOOKUP(C84,Metric_Dictionary!$A:$I,5,FALSE),"")</x:f>
      </x:c>
      <x:c r="J84" s="6" t="str">
        <x:f>IFERROR(VLOOKUP(C84,Metric_Dictionary!$A:$I,6,FALSE),"")</x:f>
      </x:c>
      <x:c r="K84" s="6" t="str">
        <x:f>IFERROR(VLOOKUP(C84,Metric_Dictionary!$A:$I,7,FALSE),"")</x:f>
      </x:c>
    </x:row>
    <x:row r="85" ht="15.75" customHeight="1">
      <x:c r="A85" s="8" t="n">
        <x:f>Dashboard_Values!A86</x:f>
        <x:v>0</x:v>
      </x:c>
      <x:c r="B85" s="6" t="str">
        <x:f>IFERROR(VLOOKUP(C85,Metric_Dictionary!$A:$I,2,FALSE),"")</x:f>
      </x:c>
      <x:c r="C85" s="6" t="n">
        <x:f>Dashboard_Values!B86</x:f>
        <x:v>0</x:v>
      </x:c>
      <x:c r="D85" s="6" t="str">
        <x:f>IFERROR(VLOOKUP(C85,Metric_Dictionary!$A:$I,3,FALSE),"")</x:f>
      </x:c>
      <x:c r="E85" s="6" t="n">
        <x:f>Dashboard_Values!C86</x:f>
        <x:v>0</x:v>
      </x:c>
      <x:c r="F85" s="6" t="str">
        <x:f>IFERROR(VLOOKUP(C85,Metric_Dictionary!$A:$I,8,FALSE),"")</x:f>
      </x:c>
      <x:c r="G85" s="6" t="str">
        <x:f>IFERROR(VLOOKUP(C85,Metric_Dictionary!$A:$I,4,FALSE),"")</x:f>
      </x:c>
      <x:c r="H85" s="6" t="str">
        <x:f>IFERROR(VLOOKUP(C85,Metric_Dictionary!$A:$I,9,FALSE),"")</x:f>
      </x:c>
      <x:c r="I85" s="6" t="str">
        <x:f>IFERROR(VLOOKUP(C85,Metric_Dictionary!$A:$I,5,FALSE),"")</x:f>
      </x:c>
      <x:c r="J85" s="6" t="str">
        <x:f>IFERROR(VLOOKUP(C85,Metric_Dictionary!$A:$I,6,FALSE),"")</x:f>
      </x:c>
      <x:c r="K85" s="6" t="str">
        <x:f>IFERROR(VLOOKUP(C85,Metric_Dictionary!$A:$I,7,FALSE),"")</x:f>
      </x:c>
    </x:row>
    <x:row r="86" ht="15.75" customHeight="1">
      <x:c r="A86" s="8" t="n">
        <x:f>Dashboard_Values!A87</x:f>
        <x:v>0</x:v>
      </x:c>
      <x:c r="B86" s="6" t="str">
        <x:f>IFERROR(VLOOKUP(C86,Metric_Dictionary!$A:$I,2,FALSE),"")</x:f>
      </x:c>
      <x:c r="C86" s="6" t="n">
        <x:f>Dashboard_Values!B87</x:f>
        <x:v>0</x:v>
      </x:c>
      <x:c r="D86" s="6" t="str">
        <x:f>IFERROR(VLOOKUP(C86,Metric_Dictionary!$A:$I,3,FALSE),"")</x:f>
      </x:c>
      <x:c r="E86" s="6" t="n">
        <x:f>Dashboard_Values!C87</x:f>
        <x:v>0</x:v>
      </x:c>
      <x:c r="F86" s="6" t="str">
        <x:f>IFERROR(VLOOKUP(C86,Metric_Dictionary!$A:$I,8,FALSE),"")</x:f>
      </x:c>
      <x:c r="G86" s="6" t="str">
        <x:f>IFERROR(VLOOKUP(C86,Metric_Dictionary!$A:$I,4,FALSE),"")</x:f>
      </x:c>
      <x:c r="H86" s="6" t="str">
        <x:f>IFERROR(VLOOKUP(C86,Metric_Dictionary!$A:$I,9,FALSE),"")</x:f>
      </x:c>
      <x:c r="I86" s="6" t="str">
        <x:f>IFERROR(VLOOKUP(C86,Metric_Dictionary!$A:$I,5,FALSE),"")</x:f>
      </x:c>
      <x:c r="J86" s="6" t="str">
        <x:f>IFERROR(VLOOKUP(C86,Metric_Dictionary!$A:$I,6,FALSE),"")</x:f>
      </x:c>
      <x:c r="K86" s="6" t="str">
        <x:f>IFERROR(VLOOKUP(C86,Metric_Dictionary!$A:$I,7,FALSE),"")</x:f>
      </x:c>
    </x:row>
    <x:row r="87" ht="15.75" customHeight="1">
      <x:c r="A87" s="8" t="n">
        <x:f>Dashboard_Values!A88</x:f>
        <x:v>0</x:v>
      </x:c>
      <x:c r="B87" s="6" t="str">
        <x:f>IFERROR(VLOOKUP(C87,Metric_Dictionary!$A:$I,2,FALSE),"")</x:f>
      </x:c>
      <x:c r="C87" s="6" t="n">
        <x:f>Dashboard_Values!B88</x:f>
        <x:v>0</x:v>
      </x:c>
      <x:c r="D87" s="6" t="str">
        <x:f>IFERROR(VLOOKUP(C87,Metric_Dictionary!$A:$I,3,FALSE),"")</x:f>
      </x:c>
      <x:c r="E87" s="6" t="n">
        <x:f>Dashboard_Values!C88</x:f>
        <x:v>0</x:v>
      </x:c>
      <x:c r="F87" s="6" t="str">
        <x:f>IFERROR(VLOOKUP(C87,Metric_Dictionary!$A:$I,8,FALSE),"")</x:f>
      </x:c>
      <x:c r="G87" s="6" t="str">
        <x:f>IFERROR(VLOOKUP(C87,Metric_Dictionary!$A:$I,4,FALSE),"")</x:f>
      </x:c>
      <x:c r="H87" s="6" t="str">
        <x:f>IFERROR(VLOOKUP(C87,Metric_Dictionary!$A:$I,9,FALSE),"")</x:f>
      </x:c>
      <x:c r="I87" s="6" t="str">
        <x:f>IFERROR(VLOOKUP(C87,Metric_Dictionary!$A:$I,5,FALSE),"")</x:f>
      </x:c>
      <x:c r="J87" s="6" t="str">
        <x:f>IFERROR(VLOOKUP(C87,Metric_Dictionary!$A:$I,6,FALSE),"")</x:f>
      </x:c>
      <x:c r="K87" s="6" t="str">
        <x:f>IFERROR(VLOOKUP(C87,Metric_Dictionary!$A:$I,7,FALSE),"")</x:f>
      </x:c>
    </x:row>
    <x:row r="88" ht="15.75" customHeight="1">
      <x:c r="A88" s="8" t="n">
        <x:f>Dashboard_Values!A89</x:f>
        <x:v>0</x:v>
      </x:c>
      <x:c r="B88" s="6" t="str">
        <x:f>IFERROR(VLOOKUP(C88,Metric_Dictionary!$A:$I,2,FALSE),"")</x:f>
      </x:c>
      <x:c r="C88" s="6" t="n">
        <x:f>Dashboard_Values!B89</x:f>
        <x:v>0</x:v>
      </x:c>
      <x:c r="D88" s="6" t="str">
        <x:f>IFERROR(VLOOKUP(C88,Metric_Dictionary!$A:$I,3,FALSE),"")</x:f>
      </x:c>
      <x:c r="E88" s="6" t="n">
        <x:f>Dashboard_Values!C89</x:f>
        <x:v>0</x:v>
      </x:c>
      <x:c r="F88" s="6" t="str">
        <x:f>IFERROR(VLOOKUP(C88,Metric_Dictionary!$A:$I,8,FALSE),"")</x:f>
      </x:c>
      <x:c r="G88" s="6" t="str">
        <x:f>IFERROR(VLOOKUP(C88,Metric_Dictionary!$A:$I,4,FALSE),"")</x:f>
      </x:c>
      <x:c r="H88" s="6" t="str">
        <x:f>IFERROR(VLOOKUP(C88,Metric_Dictionary!$A:$I,9,FALSE),"")</x:f>
      </x:c>
      <x:c r="I88" s="6" t="str">
        <x:f>IFERROR(VLOOKUP(C88,Metric_Dictionary!$A:$I,5,FALSE),"")</x:f>
      </x:c>
      <x:c r="J88" s="6" t="str">
        <x:f>IFERROR(VLOOKUP(C88,Metric_Dictionary!$A:$I,6,FALSE),"")</x:f>
      </x:c>
      <x:c r="K88" s="6" t="str">
        <x:f>IFERROR(VLOOKUP(C88,Metric_Dictionary!$A:$I,7,FALSE),"")</x:f>
      </x:c>
    </x:row>
    <x:row r="89" ht="15.75" customHeight="1">
      <x:c r="A89" s="8" t="n">
        <x:f>Dashboard_Values!A90</x:f>
        <x:v>0</x:v>
      </x:c>
      <x:c r="B89" s="6" t="str">
        <x:f>IFERROR(VLOOKUP(C89,Metric_Dictionary!$A:$I,2,FALSE),"")</x:f>
      </x:c>
      <x:c r="C89" s="6" t="n">
        <x:f>Dashboard_Values!B90</x:f>
        <x:v>0</x:v>
      </x:c>
      <x:c r="D89" s="6" t="str">
        <x:f>IFERROR(VLOOKUP(C89,Metric_Dictionary!$A:$I,3,FALSE),"")</x:f>
      </x:c>
      <x:c r="E89" s="6" t="n">
        <x:f>Dashboard_Values!C90</x:f>
        <x:v>0</x:v>
      </x:c>
      <x:c r="F89" s="6" t="str">
        <x:f>IFERROR(VLOOKUP(C89,Metric_Dictionary!$A:$I,8,FALSE),"")</x:f>
      </x:c>
      <x:c r="G89" s="6" t="str">
        <x:f>IFERROR(VLOOKUP(C89,Metric_Dictionary!$A:$I,4,FALSE),"")</x:f>
      </x:c>
      <x:c r="H89" s="6" t="str">
        <x:f>IFERROR(VLOOKUP(C89,Metric_Dictionary!$A:$I,9,FALSE),"")</x:f>
      </x:c>
      <x:c r="I89" s="6" t="str">
        <x:f>IFERROR(VLOOKUP(C89,Metric_Dictionary!$A:$I,5,FALSE),"")</x:f>
      </x:c>
      <x:c r="J89" s="6" t="str">
        <x:f>IFERROR(VLOOKUP(C89,Metric_Dictionary!$A:$I,6,FALSE),"")</x:f>
      </x:c>
      <x:c r="K89" s="6" t="str">
        <x:f>IFERROR(VLOOKUP(C89,Metric_Dictionary!$A:$I,7,FALSE),"")</x:f>
      </x:c>
    </x:row>
    <x:row r="90" ht="15.75" customHeight="1">
      <x:c r="A90" s="8" t="n">
        <x:f>Dashboard_Values!A91</x:f>
        <x:v>0</x:v>
      </x:c>
      <x:c r="B90" s="6" t="str">
        <x:f>IFERROR(VLOOKUP(C90,Metric_Dictionary!$A:$I,2,FALSE),"")</x:f>
      </x:c>
      <x:c r="C90" s="6" t="n">
        <x:f>Dashboard_Values!B91</x:f>
        <x:v>0</x:v>
      </x:c>
      <x:c r="D90" s="6" t="str">
        <x:f>IFERROR(VLOOKUP(C90,Metric_Dictionary!$A:$I,3,FALSE),"")</x:f>
      </x:c>
      <x:c r="E90" s="6" t="n">
        <x:f>Dashboard_Values!C91</x:f>
        <x:v>0</x:v>
      </x:c>
      <x:c r="F90" s="6" t="str">
        <x:f>IFERROR(VLOOKUP(C90,Metric_Dictionary!$A:$I,8,FALSE),"")</x:f>
      </x:c>
      <x:c r="G90" s="6" t="str">
        <x:f>IFERROR(VLOOKUP(C90,Metric_Dictionary!$A:$I,4,FALSE),"")</x:f>
      </x:c>
      <x:c r="H90" s="6" t="str">
        <x:f>IFERROR(VLOOKUP(C90,Metric_Dictionary!$A:$I,9,FALSE),"")</x:f>
      </x:c>
      <x:c r="I90" s="6" t="str">
        <x:f>IFERROR(VLOOKUP(C90,Metric_Dictionary!$A:$I,5,FALSE),"")</x:f>
      </x:c>
      <x:c r="J90" s="6" t="str">
        <x:f>IFERROR(VLOOKUP(C90,Metric_Dictionary!$A:$I,6,FALSE),"")</x:f>
      </x:c>
      <x:c r="K90" s="6" t="str">
        <x:f>IFERROR(VLOOKUP(C90,Metric_Dictionary!$A:$I,7,FALSE),"")</x:f>
      </x:c>
    </x:row>
    <x:row r="91" ht="15.75" customHeight="1">
      <x:c r="A91" s="8" t="n">
        <x:f>Dashboard_Values!A92</x:f>
        <x:v>0</x:v>
      </x:c>
      <x:c r="B91" s="6" t="str">
        <x:f>IFERROR(VLOOKUP(C91,Metric_Dictionary!$A:$I,2,FALSE),"")</x:f>
      </x:c>
      <x:c r="C91" s="6" t="n">
        <x:f>Dashboard_Values!B92</x:f>
        <x:v>0</x:v>
      </x:c>
      <x:c r="D91" s="6" t="str">
        <x:f>IFERROR(VLOOKUP(C91,Metric_Dictionary!$A:$I,3,FALSE),"")</x:f>
      </x:c>
      <x:c r="E91" s="6" t="n">
        <x:f>Dashboard_Values!C92</x:f>
        <x:v>0</x:v>
      </x:c>
      <x:c r="F91" s="6" t="str">
        <x:f>IFERROR(VLOOKUP(C91,Metric_Dictionary!$A:$I,8,FALSE),"")</x:f>
      </x:c>
      <x:c r="G91" s="6" t="str">
        <x:f>IFERROR(VLOOKUP(C91,Metric_Dictionary!$A:$I,4,FALSE),"")</x:f>
      </x:c>
      <x:c r="H91" s="6" t="str">
        <x:f>IFERROR(VLOOKUP(C91,Metric_Dictionary!$A:$I,9,FALSE),"")</x:f>
      </x:c>
      <x:c r="I91" s="6" t="str">
        <x:f>IFERROR(VLOOKUP(C91,Metric_Dictionary!$A:$I,5,FALSE),"")</x:f>
      </x:c>
      <x:c r="J91" s="6" t="str">
        <x:f>IFERROR(VLOOKUP(C91,Metric_Dictionary!$A:$I,6,FALSE),"")</x:f>
      </x:c>
      <x:c r="K91" s="6" t="str">
        <x:f>IFERROR(VLOOKUP(C91,Metric_Dictionary!$A:$I,7,FALSE),"")</x:f>
      </x:c>
    </x:row>
    <x:row r="92" ht="15.75" customHeight="1">
      <x:c r="A92" s="8" t="n">
        <x:f>Dashboard_Values!A93</x:f>
        <x:v>0</x:v>
      </x:c>
      <x:c r="B92" s="6" t="str">
        <x:f>IFERROR(VLOOKUP(C92,Metric_Dictionary!$A:$I,2,FALSE),"")</x:f>
      </x:c>
      <x:c r="C92" s="6" t="n">
        <x:f>Dashboard_Values!B93</x:f>
        <x:v>0</x:v>
      </x:c>
      <x:c r="D92" s="6" t="str">
        <x:f>IFERROR(VLOOKUP(C92,Metric_Dictionary!$A:$I,3,FALSE),"")</x:f>
      </x:c>
      <x:c r="E92" s="6" t="n">
        <x:f>Dashboard_Values!C93</x:f>
        <x:v>0</x:v>
      </x:c>
      <x:c r="F92" s="6" t="str">
        <x:f>IFERROR(VLOOKUP(C92,Metric_Dictionary!$A:$I,8,FALSE),"")</x:f>
      </x:c>
      <x:c r="G92" s="6" t="str">
        <x:f>IFERROR(VLOOKUP(C92,Metric_Dictionary!$A:$I,4,FALSE),"")</x:f>
      </x:c>
      <x:c r="H92" s="6" t="str">
        <x:f>IFERROR(VLOOKUP(C92,Metric_Dictionary!$A:$I,9,FALSE),"")</x:f>
      </x:c>
      <x:c r="I92" s="6" t="str">
        <x:f>IFERROR(VLOOKUP(C92,Metric_Dictionary!$A:$I,5,FALSE),"")</x:f>
      </x:c>
      <x:c r="J92" s="6" t="str">
        <x:f>IFERROR(VLOOKUP(C92,Metric_Dictionary!$A:$I,6,FALSE),"")</x:f>
      </x:c>
      <x:c r="K92" s="6" t="str">
        <x:f>IFERROR(VLOOKUP(C92,Metric_Dictionary!$A:$I,7,FALSE),"")</x:f>
      </x:c>
    </x:row>
    <x:row r="93" ht="15.75" customHeight="1">
      <x:c r="A93" s="8" t="n">
        <x:f>Dashboard_Values!A94</x:f>
        <x:v>0</x:v>
      </x:c>
      <x:c r="B93" s="6" t="str">
        <x:f>IFERROR(VLOOKUP(C93,Metric_Dictionary!$A:$I,2,FALSE),"")</x:f>
      </x:c>
      <x:c r="C93" s="6" t="n">
        <x:f>Dashboard_Values!B94</x:f>
        <x:v>0</x:v>
      </x:c>
      <x:c r="D93" s="6" t="str">
        <x:f>IFERROR(VLOOKUP(C93,Metric_Dictionary!$A:$I,3,FALSE),"")</x:f>
      </x:c>
      <x:c r="E93" s="6" t="n">
        <x:f>Dashboard_Values!C94</x:f>
        <x:v>0</x:v>
      </x:c>
      <x:c r="F93" s="6" t="str">
        <x:f>IFERROR(VLOOKUP(C93,Metric_Dictionary!$A:$I,8,FALSE),"")</x:f>
      </x:c>
      <x:c r="G93" s="6" t="str">
        <x:f>IFERROR(VLOOKUP(C93,Metric_Dictionary!$A:$I,4,FALSE),"")</x:f>
      </x:c>
      <x:c r="H93" s="6" t="str">
        <x:f>IFERROR(VLOOKUP(C93,Metric_Dictionary!$A:$I,9,FALSE),"")</x:f>
      </x:c>
      <x:c r="I93" s="6" t="str">
        <x:f>IFERROR(VLOOKUP(C93,Metric_Dictionary!$A:$I,5,FALSE),"")</x:f>
      </x:c>
      <x:c r="J93" s="6" t="str">
        <x:f>IFERROR(VLOOKUP(C93,Metric_Dictionary!$A:$I,6,FALSE),"")</x:f>
      </x:c>
      <x:c r="K93" s="6" t="str">
        <x:f>IFERROR(VLOOKUP(C93,Metric_Dictionary!$A:$I,7,FALSE),"")</x:f>
      </x:c>
    </x:row>
    <x:row r="94" ht="15.75" customHeight="1">
      <x:c r="A94" s="8" t="n">
        <x:f>Dashboard_Values!A95</x:f>
        <x:v>0</x:v>
      </x:c>
      <x:c r="B94" s="6" t="str">
        <x:f>IFERROR(VLOOKUP(C94,Metric_Dictionary!$A:$I,2,FALSE),"")</x:f>
      </x:c>
      <x:c r="C94" s="6" t="n">
        <x:f>Dashboard_Values!B95</x:f>
        <x:v>0</x:v>
      </x:c>
      <x:c r="D94" s="6" t="str">
        <x:f>IFERROR(VLOOKUP(C94,Metric_Dictionary!$A:$I,3,FALSE),"")</x:f>
      </x:c>
      <x:c r="E94" s="6" t="n">
        <x:f>Dashboard_Values!C95</x:f>
        <x:v>0</x:v>
      </x:c>
      <x:c r="F94" s="6" t="str">
        <x:f>IFERROR(VLOOKUP(C94,Metric_Dictionary!$A:$I,8,FALSE),"")</x:f>
      </x:c>
      <x:c r="G94" s="6" t="str">
        <x:f>IFERROR(VLOOKUP(C94,Metric_Dictionary!$A:$I,4,FALSE),"")</x:f>
      </x:c>
      <x:c r="H94" s="6" t="str">
        <x:f>IFERROR(VLOOKUP(C94,Metric_Dictionary!$A:$I,9,FALSE),"")</x:f>
      </x:c>
      <x:c r="I94" s="6" t="str">
        <x:f>IFERROR(VLOOKUP(C94,Metric_Dictionary!$A:$I,5,FALSE),"")</x:f>
      </x:c>
      <x:c r="J94" s="6" t="str">
        <x:f>IFERROR(VLOOKUP(C94,Metric_Dictionary!$A:$I,6,FALSE),"")</x:f>
      </x:c>
      <x:c r="K94" s="6" t="str">
        <x:f>IFERROR(VLOOKUP(C94,Metric_Dictionary!$A:$I,7,FALSE),"")</x:f>
      </x:c>
    </x:row>
    <x:row r="95" ht="15.75" customHeight="1">
      <x:c r="A95" s="8" t="n">
        <x:f>Dashboard_Values!A96</x:f>
        <x:v>0</x:v>
      </x:c>
      <x:c r="B95" s="6" t="str">
        <x:f>IFERROR(VLOOKUP(C95,Metric_Dictionary!$A:$I,2,FALSE),"")</x:f>
      </x:c>
      <x:c r="C95" s="6" t="n">
        <x:f>Dashboard_Values!B96</x:f>
        <x:v>0</x:v>
      </x:c>
      <x:c r="D95" s="6" t="str">
        <x:f>IFERROR(VLOOKUP(C95,Metric_Dictionary!$A:$I,3,FALSE),"")</x:f>
      </x:c>
      <x:c r="E95" s="6" t="n">
        <x:f>Dashboard_Values!C96</x:f>
        <x:v>0</x:v>
      </x:c>
      <x:c r="F95" s="6" t="str">
        <x:f>IFERROR(VLOOKUP(C95,Metric_Dictionary!$A:$I,8,FALSE),"")</x:f>
      </x:c>
      <x:c r="G95" s="6" t="str">
        <x:f>IFERROR(VLOOKUP(C95,Metric_Dictionary!$A:$I,4,FALSE),"")</x:f>
      </x:c>
      <x:c r="H95" s="6" t="str">
        <x:f>IFERROR(VLOOKUP(C95,Metric_Dictionary!$A:$I,9,FALSE),"")</x:f>
      </x:c>
      <x:c r="I95" s="6" t="str">
        <x:f>IFERROR(VLOOKUP(C95,Metric_Dictionary!$A:$I,5,FALSE),"")</x:f>
      </x:c>
      <x:c r="J95" s="6" t="str">
        <x:f>IFERROR(VLOOKUP(C95,Metric_Dictionary!$A:$I,6,FALSE),"")</x:f>
      </x:c>
      <x:c r="K95" s="6" t="str">
        <x:f>IFERROR(VLOOKUP(C95,Metric_Dictionary!$A:$I,7,FALSE),"")</x:f>
      </x:c>
    </x:row>
    <x:row r="96" ht="15.75" customHeight="1">
      <x:c r="A96" s="8" t="n">
        <x:f>Dashboard_Values!A97</x:f>
        <x:v>0</x:v>
      </x:c>
      <x:c r="B96" s="6" t="str">
        <x:f>IFERROR(VLOOKUP(C96,Metric_Dictionary!$A:$I,2,FALSE),"")</x:f>
      </x:c>
      <x:c r="C96" s="6" t="n">
        <x:f>Dashboard_Values!B97</x:f>
        <x:v>0</x:v>
      </x:c>
      <x:c r="D96" s="6" t="str">
        <x:f>IFERROR(VLOOKUP(C96,Metric_Dictionary!$A:$I,3,FALSE),"")</x:f>
      </x:c>
      <x:c r="E96" s="6" t="n">
        <x:f>Dashboard_Values!C97</x:f>
        <x:v>0</x:v>
      </x:c>
      <x:c r="F96" s="6" t="str">
        <x:f>IFERROR(VLOOKUP(C96,Metric_Dictionary!$A:$I,8,FALSE),"")</x:f>
      </x:c>
      <x:c r="G96" s="6" t="str">
        <x:f>IFERROR(VLOOKUP(C96,Metric_Dictionary!$A:$I,4,FALSE),"")</x:f>
      </x:c>
      <x:c r="H96" s="6" t="str">
        <x:f>IFERROR(VLOOKUP(C96,Metric_Dictionary!$A:$I,9,FALSE),"")</x:f>
      </x:c>
      <x:c r="I96" s="6" t="str">
        <x:f>IFERROR(VLOOKUP(C96,Metric_Dictionary!$A:$I,5,FALSE),"")</x:f>
      </x:c>
      <x:c r="J96" s="6" t="str">
        <x:f>IFERROR(VLOOKUP(C96,Metric_Dictionary!$A:$I,6,FALSE),"")</x:f>
      </x:c>
      <x:c r="K96" s="6" t="str">
        <x:f>IFERROR(VLOOKUP(C96,Metric_Dictionary!$A:$I,7,FALSE),"")</x:f>
      </x:c>
    </x:row>
    <x:row r="97" ht="15.75" customHeight="1">
      <x:c r="A97" s="8" t="n">
        <x:f>Dashboard_Values!A98</x:f>
        <x:v>0</x:v>
      </x:c>
      <x:c r="B97" s="6" t="str">
        <x:f>IFERROR(VLOOKUP(C97,Metric_Dictionary!$A:$I,2,FALSE),"")</x:f>
      </x:c>
      <x:c r="C97" s="6" t="n">
        <x:f>Dashboard_Values!B98</x:f>
        <x:v>0</x:v>
      </x:c>
      <x:c r="D97" s="6" t="str">
        <x:f>IFERROR(VLOOKUP(C97,Metric_Dictionary!$A:$I,3,FALSE),"")</x:f>
      </x:c>
      <x:c r="E97" s="6" t="n">
        <x:f>Dashboard_Values!C98</x:f>
        <x:v>0</x:v>
      </x:c>
      <x:c r="F97" s="6" t="str">
        <x:f>IFERROR(VLOOKUP(C97,Metric_Dictionary!$A:$I,8,FALSE),"")</x:f>
      </x:c>
      <x:c r="G97" s="6" t="str">
        <x:f>IFERROR(VLOOKUP(C97,Metric_Dictionary!$A:$I,4,FALSE),"")</x:f>
      </x:c>
      <x:c r="H97" s="6" t="str">
        <x:f>IFERROR(VLOOKUP(C97,Metric_Dictionary!$A:$I,9,FALSE),"")</x:f>
      </x:c>
      <x:c r="I97" s="6" t="str">
        <x:f>IFERROR(VLOOKUP(C97,Metric_Dictionary!$A:$I,5,FALSE),"")</x:f>
      </x:c>
      <x:c r="J97" s="6" t="str">
        <x:f>IFERROR(VLOOKUP(C97,Metric_Dictionary!$A:$I,6,FALSE),"")</x:f>
      </x:c>
      <x:c r="K97" s="6" t="str">
        <x:f>IFERROR(VLOOKUP(C97,Metric_Dictionary!$A:$I,7,FALSE),"")</x:f>
      </x:c>
    </x:row>
    <x:row r="98" ht="15.75" customHeight="1">
      <x:c r="A98" s="8" t="n">
        <x:f>Dashboard_Values!A99</x:f>
        <x:v>0</x:v>
      </x:c>
      <x:c r="B98" s="6" t="str">
        <x:f>IFERROR(VLOOKUP(C98,Metric_Dictionary!$A:$I,2,FALSE),"")</x:f>
      </x:c>
      <x:c r="C98" s="6" t="n">
        <x:f>Dashboard_Values!B99</x:f>
        <x:v>0</x:v>
      </x:c>
      <x:c r="D98" s="6" t="str">
        <x:f>IFERROR(VLOOKUP(C98,Metric_Dictionary!$A:$I,3,FALSE),"")</x:f>
      </x:c>
      <x:c r="E98" s="6" t="n">
        <x:f>Dashboard_Values!C99</x:f>
        <x:v>0</x:v>
      </x:c>
      <x:c r="F98" s="6" t="str">
        <x:f>IFERROR(VLOOKUP(C98,Metric_Dictionary!$A:$I,8,FALSE),"")</x:f>
      </x:c>
      <x:c r="G98" s="6" t="str">
        <x:f>IFERROR(VLOOKUP(C98,Metric_Dictionary!$A:$I,4,FALSE),"")</x:f>
      </x:c>
      <x:c r="H98" s="6" t="str">
        <x:f>IFERROR(VLOOKUP(C98,Metric_Dictionary!$A:$I,9,FALSE),"")</x:f>
      </x:c>
      <x:c r="I98" s="6" t="str">
        <x:f>IFERROR(VLOOKUP(C98,Metric_Dictionary!$A:$I,5,FALSE),"")</x:f>
      </x:c>
      <x:c r="J98" s="6" t="str">
        <x:f>IFERROR(VLOOKUP(C98,Metric_Dictionary!$A:$I,6,FALSE),"")</x:f>
      </x:c>
      <x:c r="K98" s="6" t="str">
        <x:f>IFERROR(VLOOKUP(C98,Metric_Dictionary!$A:$I,7,FALSE),"")</x:f>
      </x:c>
    </x:row>
    <x:row r="99" ht="15.75" customHeight="1">
      <x:c r="A99" s="8" t="n">
        <x:f>Dashboard_Values!A100</x:f>
        <x:v>0</x:v>
      </x:c>
      <x:c r="B99" s="6" t="str">
        <x:f>IFERROR(VLOOKUP(C99,Metric_Dictionary!$A:$I,2,FALSE),"")</x:f>
      </x:c>
      <x:c r="C99" s="6" t="n">
        <x:f>Dashboard_Values!B100</x:f>
        <x:v>0</x:v>
      </x:c>
      <x:c r="D99" s="6" t="str">
        <x:f>IFERROR(VLOOKUP(C99,Metric_Dictionary!$A:$I,3,FALSE),"")</x:f>
      </x:c>
      <x:c r="E99" s="6" t="n">
        <x:f>Dashboard_Values!C100</x:f>
        <x:v>0</x:v>
      </x:c>
      <x:c r="F99" s="6" t="str">
        <x:f>IFERROR(VLOOKUP(C99,Metric_Dictionary!$A:$I,8,FALSE),"")</x:f>
      </x:c>
      <x:c r="G99" s="6" t="str">
        <x:f>IFERROR(VLOOKUP(C99,Metric_Dictionary!$A:$I,4,FALSE),"")</x:f>
      </x:c>
      <x:c r="H99" s="6" t="str">
        <x:f>IFERROR(VLOOKUP(C99,Metric_Dictionary!$A:$I,9,FALSE),"")</x:f>
      </x:c>
      <x:c r="I99" s="6" t="str">
        <x:f>IFERROR(VLOOKUP(C99,Metric_Dictionary!$A:$I,5,FALSE),"")</x:f>
      </x:c>
      <x:c r="J99" s="6" t="str">
        <x:f>IFERROR(VLOOKUP(C99,Metric_Dictionary!$A:$I,6,FALSE),"")</x:f>
      </x:c>
      <x:c r="K99" s="6" t="str">
        <x:f>IFERROR(VLOOKUP(C99,Metric_Dictionary!$A:$I,7,FALSE),"")</x:f>
      </x:c>
    </x:row>
    <x:row r="100" ht="15.75" customHeight="1">
      <x:c r="A100" s="8" t="n">
        <x:f>Dashboard_Values!A101</x:f>
        <x:v>0</x:v>
      </x:c>
      <x:c r="B100" s="6" t="str">
        <x:f>IFERROR(VLOOKUP(C100,Metric_Dictionary!$A:$I,2,FALSE),"")</x:f>
      </x:c>
      <x:c r="C100" s="6" t="n">
        <x:f>Dashboard_Values!B101</x:f>
        <x:v>0</x:v>
      </x:c>
      <x:c r="D100" s="6" t="str">
        <x:f>IFERROR(VLOOKUP(C100,Metric_Dictionary!$A:$I,3,FALSE),"")</x:f>
      </x:c>
      <x:c r="E100" s="6" t="n">
        <x:f>Dashboard_Values!C101</x:f>
        <x:v>0</x:v>
      </x:c>
      <x:c r="F100" s="6" t="str">
        <x:f>IFERROR(VLOOKUP(C100,Metric_Dictionary!$A:$I,8,FALSE),"")</x:f>
      </x:c>
      <x:c r="G100" s="6" t="str">
        <x:f>IFERROR(VLOOKUP(C100,Metric_Dictionary!$A:$I,4,FALSE),"")</x:f>
      </x:c>
      <x:c r="H100" s="6" t="str">
        <x:f>IFERROR(VLOOKUP(C100,Metric_Dictionary!$A:$I,9,FALSE),"")</x:f>
      </x:c>
      <x:c r="I100" s="6" t="str">
        <x:f>IFERROR(VLOOKUP(C100,Metric_Dictionary!$A:$I,5,FALSE),"")</x:f>
      </x:c>
      <x:c r="J100" s="6" t="str">
        <x:f>IFERROR(VLOOKUP(C100,Metric_Dictionary!$A:$I,6,FALSE),"")</x:f>
      </x:c>
      <x:c r="K100" s="6" t="str">
        <x:f>IFERROR(VLOOKUP(C100,Metric_Dictionary!$A:$I,7,FALSE),"")</x:f>
      </x:c>
    </x:row>
    <x:row r="101" ht="15.75" customHeight="1">
      <x:c r="A101" s="8" t="n">
        <x:f>Dashboard_Values!A102</x:f>
        <x:v>0</x:v>
      </x:c>
      <x:c r="B101" s="6" t="str">
        <x:f>IFERROR(VLOOKUP(C101,Metric_Dictionary!$A:$I,2,FALSE),"")</x:f>
      </x:c>
      <x:c r="C101" s="6" t="n">
        <x:f>Dashboard_Values!B102</x:f>
        <x:v>0</x:v>
      </x:c>
      <x:c r="D101" s="6" t="str">
        <x:f>IFERROR(VLOOKUP(C101,Metric_Dictionary!$A:$I,3,FALSE),"")</x:f>
      </x:c>
      <x:c r="E101" s="6" t="n">
        <x:f>Dashboard_Values!C102</x:f>
        <x:v>0</x:v>
      </x:c>
      <x:c r="F101" s="6" t="str">
        <x:f>IFERROR(VLOOKUP(C101,Metric_Dictionary!$A:$I,8,FALSE),"")</x:f>
      </x:c>
      <x:c r="G101" s="6" t="str">
        <x:f>IFERROR(VLOOKUP(C101,Metric_Dictionary!$A:$I,4,FALSE),"")</x:f>
      </x:c>
      <x:c r="H101" s="6" t="str">
        <x:f>IFERROR(VLOOKUP(C101,Metric_Dictionary!$A:$I,9,FALSE),"")</x:f>
      </x:c>
      <x:c r="I101" s="6" t="str">
        <x:f>IFERROR(VLOOKUP(C101,Metric_Dictionary!$A:$I,5,FALSE),"")</x:f>
      </x:c>
      <x:c r="J101" s="6" t="str">
        <x:f>IFERROR(VLOOKUP(C101,Metric_Dictionary!$A:$I,6,FALSE),"")</x:f>
      </x:c>
      <x:c r="K101" s="6" t="str">
        <x:f>IFERROR(VLOOKUP(C101,Metric_Dictionary!$A:$I,7,FALSE),"")</x:f>
      </x:c>
    </x:row>
    <x:row r="102" ht="15.75" customHeight="1">
      <x:c r="A102" s="8" t="n">
        <x:f>Dashboard_Values!A103</x:f>
        <x:v>0</x:v>
      </x:c>
      <x:c r="B102" s="6" t="str">
        <x:f>IFERROR(VLOOKUP(C102,Metric_Dictionary!$A:$I,2,FALSE),"")</x:f>
      </x:c>
      <x:c r="C102" s="6" t="n">
        <x:f>Dashboard_Values!B103</x:f>
        <x:v>0</x:v>
      </x:c>
      <x:c r="D102" s="6" t="str">
        <x:f>IFERROR(VLOOKUP(C102,Metric_Dictionary!$A:$I,3,FALSE),"")</x:f>
      </x:c>
      <x:c r="E102" s="6" t="n">
        <x:f>Dashboard_Values!C103</x:f>
        <x:v>0</x:v>
      </x:c>
      <x:c r="F102" s="6" t="str">
        <x:f>IFERROR(VLOOKUP(C102,Metric_Dictionary!$A:$I,8,FALSE),"")</x:f>
      </x:c>
      <x:c r="G102" s="6" t="str">
        <x:f>IFERROR(VLOOKUP(C102,Metric_Dictionary!$A:$I,4,FALSE),"")</x:f>
      </x:c>
      <x:c r="H102" s="6" t="str">
        <x:f>IFERROR(VLOOKUP(C102,Metric_Dictionary!$A:$I,9,FALSE),"")</x:f>
      </x:c>
      <x:c r="I102" s="6" t="str">
        <x:f>IFERROR(VLOOKUP(C102,Metric_Dictionary!$A:$I,5,FALSE),"")</x:f>
      </x:c>
      <x:c r="J102" s="6" t="str">
        <x:f>IFERROR(VLOOKUP(C102,Metric_Dictionary!$A:$I,6,FALSE),"")</x:f>
      </x:c>
      <x:c r="K102" s="6" t="str">
        <x:f>IFERROR(VLOOKUP(C102,Metric_Dictionary!$A:$I,7,FALSE),"")</x:f>
      </x:c>
    </x:row>
    <x:row r="103" ht="15.75" customHeight="1">
      <x:c r="A103" s="8" t="n">
        <x:f>Dashboard_Values!A104</x:f>
        <x:v>0</x:v>
      </x:c>
      <x:c r="B103" s="6" t="str">
        <x:f>IFERROR(VLOOKUP(C103,Metric_Dictionary!$A:$I,2,FALSE),"")</x:f>
      </x:c>
      <x:c r="C103" s="6" t="n">
        <x:f>Dashboard_Values!B104</x:f>
        <x:v>0</x:v>
      </x:c>
      <x:c r="D103" s="6" t="str">
        <x:f>IFERROR(VLOOKUP(C103,Metric_Dictionary!$A:$I,3,FALSE),"")</x:f>
      </x:c>
      <x:c r="E103" s="6" t="n">
        <x:f>Dashboard_Values!C104</x:f>
        <x:v>0</x:v>
      </x:c>
      <x:c r="F103" s="6" t="str">
        <x:f>IFERROR(VLOOKUP(C103,Metric_Dictionary!$A:$I,8,FALSE),"")</x:f>
      </x:c>
      <x:c r="G103" s="6" t="str">
        <x:f>IFERROR(VLOOKUP(C103,Metric_Dictionary!$A:$I,4,FALSE),"")</x:f>
      </x:c>
      <x:c r="H103" s="6" t="str">
        <x:f>IFERROR(VLOOKUP(C103,Metric_Dictionary!$A:$I,9,FALSE),"")</x:f>
      </x:c>
      <x:c r="I103" s="6" t="str">
        <x:f>IFERROR(VLOOKUP(C103,Metric_Dictionary!$A:$I,5,FALSE),"")</x:f>
      </x:c>
      <x:c r="J103" s="6" t="str">
        <x:f>IFERROR(VLOOKUP(C103,Metric_Dictionary!$A:$I,6,FALSE),"")</x:f>
      </x:c>
      <x:c r="K103" s="6" t="str">
        <x:f>IFERROR(VLOOKUP(C103,Metric_Dictionary!$A:$I,7,FALSE),"")</x:f>
      </x:c>
    </x:row>
    <x:row r="104" ht="15.75" customHeight="1">
      <x:c r="A104" s="8" t="n">
        <x:f>Dashboard_Values!A105</x:f>
        <x:v>0</x:v>
      </x:c>
      <x:c r="B104" s="6" t="str">
        <x:f>IFERROR(VLOOKUP(C104,Metric_Dictionary!$A:$I,2,FALSE),"")</x:f>
      </x:c>
      <x:c r="C104" s="6" t="n">
        <x:f>Dashboard_Values!B105</x:f>
        <x:v>0</x:v>
      </x:c>
      <x:c r="D104" s="6" t="str">
        <x:f>IFERROR(VLOOKUP(C104,Metric_Dictionary!$A:$I,3,FALSE),"")</x:f>
      </x:c>
      <x:c r="E104" s="6" t="n">
        <x:f>Dashboard_Values!C105</x:f>
        <x:v>0</x:v>
      </x:c>
      <x:c r="F104" s="6" t="str">
        <x:f>IFERROR(VLOOKUP(C104,Metric_Dictionary!$A:$I,8,FALSE),"")</x:f>
      </x:c>
      <x:c r="G104" s="6" t="str">
        <x:f>IFERROR(VLOOKUP(C104,Metric_Dictionary!$A:$I,4,FALSE),"")</x:f>
      </x:c>
      <x:c r="H104" s="6" t="str">
        <x:f>IFERROR(VLOOKUP(C104,Metric_Dictionary!$A:$I,9,FALSE),"")</x:f>
      </x:c>
      <x:c r="I104" s="6" t="str">
        <x:f>IFERROR(VLOOKUP(C104,Metric_Dictionary!$A:$I,5,FALSE),"")</x:f>
      </x:c>
      <x:c r="J104" s="6" t="str">
        <x:f>IFERROR(VLOOKUP(C104,Metric_Dictionary!$A:$I,6,FALSE),"")</x:f>
      </x:c>
      <x:c r="K104" s="6" t="str">
        <x:f>IFERROR(VLOOKUP(C104,Metric_Dictionary!$A:$I,7,FALSE),"")</x:f>
      </x:c>
    </x:row>
    <x:row r="105" ht="15.75" customHeight="1">
      <x:c r="A105" s="8" t="n">
        <x:f>Dashboard_Values!A106</x:f>
        <x:v>0</x:v>
      </x:c>
      <x:c r="B105" s="6" t="str">
        <x:f>IFERROR(VLOOKUP(C105,Metric_Dictionary!$A:$I,2,FALSE),"")</x:f>
      </x:c>
      <x:c r="C105" s="6" t="n">
        <x:f>Dashboard_Values!B106</x:f>
        <x:v>0</x:v>
      </x:c>
      <x:c r="D105" s="6" t="str">
        <x:f>IFERROR(VLOOKUP(C105,Metric_Dictionary!$A:$I,3,FALSE),"")</x:f>
      </x:c>
      <x:c r="E105" s="6" t="n">
        <x:f>Dashboard_Values!C106</x:f>
        <x:v>0</x:v>
      </x:c>
      <x:c r="F105" s="6" t="str">
        <x:f>IFERROR(VLOOKUP(C105,Metric_Dictionary!$A:$I,8,FALSE),"")</x:f>
      </x:c>
      <x:c r="G105" s="6" t="str">
        <x:f>IFERROR(VLOOKUP(C105,Metric_Dictionary!$A:$I,4,FALSE),"")</x:f>
      </x:c>
      <x:c r="H105" s="6" t="str">
        <x:f>IFERROR(VLOOKUP(C105,Metric_Dictionary!$A:$I,9,FALSE),"")</x:f>
      </x:c>
      <x:c r="I105" s="6" t="str">
        <x:f>IFERROR(VLOOKUP(C105,Metric_Dictionary!$A:$I,5,FALSE),"")</x:f>
      </x:c>
      <x:c r="J105" s="6" t="str">
        <x:f>IFERROR(VLOOKUP(C105,Metric_Dictionary!$A:$I,6,FALSE),"")</x:f>
      </x:c>
      <x:c r="K105" s="6" t="str">
        <x:f>IFERROR(VLOOKUP(C105,Metric_Dictionary!$A:$I,7,FALSE),"")</x:f>
      </x:c>
    </x:row>
    <x:row r="106" ht="15.75" customHeight="1">
      <x:c r="A106" s="8" t="n">
        <x:f>Dashboard_Values!A107</x:f>
        <x:v>0</x:v>
      </x:c>
      <x:c r="B106" s="6" t="str">
        <x:f>IFERROR(VLOOKUP(C106,Metric_Dictionary!$A:$I,2,FALSE),"")</x:f>
      </x:c>
      <x:c r="C106" s="6" t="n">
        <x:f>Dashboard_Values!B107</x:f>
        <x:v>0</x:v>
      </x:c>
      <x:c r="D106" s="6" t="str">
        <x:f>IFERROR(VLOOKUP(C106,Metric_Dictionary!$A:$I,3,FALSE),"")</x:f>
      </x:c>
      <x:c r="E106" s="6" t="n">
        <x:f>Dashboard_Values!C107</x:f>
        <x:v>0</x:v>
      </x:c>
      <x:c r="F106" s="6" t="str">
        <x:f>IFERROR(VLOOKUP(C106,Metric_Dictionary!$A:$I,8,FALSE),"")</x:f>
      </x:c>
      <x:c r="G106" s="6" t="str">
        <x:f>IFERROR(VLOOKUP(C106,Metric_Dictionary!$A:$I,4,FALSE),"")</x:f>
      </x:c>
      <x:c r="H106" s="6" t="str">
        <x:f>IFERROR(VLOOKUP(C106,Metric_Dictionary!$A:$I,9,FALSE),"")</x:f>
      </x:c>
      <x:c r="I106" s="6" t="str">
        <x:f>IFERROR(VLOOKUP(C106,Metric_Dictionary!$A:$I,5,FALSE),"")</x:f>
      </x:c>
      <x:c r="J106" s="6" t="str">
        <x:f>IFERROR(VLOOKUP(C106,Metric_Dictionary!$A:$I,6,FALSE),"")</x:f>
      </x:c>
      <x:c r="K106" s="6" t="str">
        <x:f>IFERROR(VLOOKUP(C106,Metric_Dictionary!$A:$I,7,FALSE),"")</x:f>
      </x:c>
    </x:row>
    <x:row r="107" ht="15.75" customHeight="1">
      <x:c r="A107" s="8" t="n">
        <x:f>Dashboard_Values!A108</x:f>
        <x:v>0</x:v>
      </x:c>
      <x:c r="B107" s="6" t="str">
        <x:f>IFERROR(VLOOKUP(C107,Metric_Dictionary!$A:$I,2,FALSE),"")</x:f>
      </x:c>
      <x:c r="C107" s="6" t="n">
        <x:f>Dashboard_Values!B108</x:f>
        <x:v>0</x:v>
      </x:c>
      <x:c r="D107" s="6" t="str">
        <x:f>IFERROR(VLOOKUP(C107,Metric_Dictionary!$A:$I,3,FALSE),"")</x:f>
      </x:c>
      <x:c r="E107" s="6" t="n">
        <x:f>Dashboard_Values!C108</x:f>
        <x:v>0</x:v>
      </x:c>
      <x:c r="F107" s="6" t="str">
        <x:f>IFERROR(VLOOKUP(C107,Metric_Dictionary!$A:$I,8,FALSE),"")</x:f>
      </x:c>
      <x:c r="G107" s="6" t="str">
        <x:f>IFERROR(VLOOKUP(C107,Metric_Dictionary!$A:$I,4,FALSE),"")</x:f>
      </x:c>
      <x:c r="H107" s="6" t="str">
        <x:f>IFERROR(VLOOKUP(C107,Metric_Dictionary!$A:$I,9,FALSE),"")</x:f>
      </x:c>
      <x:c r="I107" s="6" t="str">
        <x:f>IFERROR(VLOOKUP(C107,Metric_Dictionary!$A:$I,5,FALSE),"")</x:f>
      </x:c>
      <x:c r="J107" s="6" t="str">
        <x:f>IFERROR(VLOOKUP(C107,Metric_Dictionary!$A:$I,6,FALSE),"")</x:f>
      </x:c>
      <x:c r="K107" s="6" t="str">
        <x:f>IFERROR(VLOOKUP(C107,Metric_Dictionary!$A:$I,7,FALSE),"")</x:f>
      </x:c>
    </x:row>
    <x:row r="108" ht="15.75" customHeight="1">
      <x:c r="A108" s="8" t="n">
        <x:f>Dashboard_Values!A109</x:f>
        <x:v>0</x:v>
      </x:c>
      <x:c r="B108" s="6" t="str">
        <x:f>IFERROR(VLOOKUP(C108,Metric_Dictionary!$A:$I,2,FALSE),"")</x:f>
      </x:c>
      <x:c r="C108" s="6" t="n">
        <x:f>Dashboard_Values!B109</x:f>
        <x:v>0</x:v>
      </x:c>
      <x:c r="D108" s="6" t="str">
        <x:f>IFERROR(VLOOKUP(C108,Metric_Dictionary!$A:$I,3,FALSE),"")</x:f>
      </x:c>
      <x:c r="E108" s="6" t="n">
        <x:f>Dashboard_Values!C109</x:f>
        <x:v>0</x:v>
      </x:c>
      <x:c r="F108" s="6" t="str">
        <x:f>IFERROR(VLOOKUP(C108,Metric_Dictionary!$A:$I,8,FALSE),"")</x:f>
      </x:c>
      <x:c r="G108" s="6" t="str">
        <x:f>IFERROR(VLOOKUP(C108,Metric_Dictionary!$A:$I,4,FALSE),"")</x:f>
      </x:c>
      <x:c r="H108" s="6" t="str">
        <x:f>IFERROR(VLOOKUP(C108,Metric_Dictionary!$A:$I,9,FALSE),"")</x:f>
      </x:c>
      <x:c r="I108" s="6" t="str">
        <x:f>IFERROR(VLOOKUP(C108,Metric_Dictionary!$A:$I,5,FALSE),"")</x:f>
      </x:c>
      <x:c r="J108" s="6" t="str">
        <x:f>IFERROR(VLOOKUP(C108,Metric_Dictionary!$A:$I,6,FALSE),"")</x:f>
      </x:c>
      <x:c r="K108" s="6" t="str">
        <x:f>IFERROR(VLOOKUP(C108,Metric_Dictionary!$A:$I,7,FALSE),"")</x:f>
      </x:c>
    </x:row>
    <x:row r="109" ht="15.75" customHeight="1">
      <x:c r="A109" s="8" t="n">
        <x:f>Dashboard_Values!A110</x:f>
        <x:v>0</x:v>
      </x:c>
      <x:c r="B109" s="6" t="str">
        <x:f>IFERROR(VLOOKUP(C109,Metric_Dictionary!$A:$I,2,FALSE),"")</x:f>
      </x:c>
      <x:c r="C109" s="6" t="n">
        <x:f>Dashboard_Values!B110</x:f>
        <x:v>0</x:v>
      </x:c>
      <x:c r="D109" s="6" t="str">
        <x:f>IFERROR(VLOOKUP(C109,Metric_Dictionary!$A:$I,3,FALSE),"")</x:f>
      </x:c>
      <x:c r="E109" s="6" t="n">
        <x:f>Dashboard_Values!C110</x:f>
        <x:v>0</x:v>
      </x:c>
      <x:c r="F109" s="6" t="str">
        <x:f>IFERROR(VLOOKUP(C109,Metric_Dictionary!$A:$I,8,FALSE),"")</x:f>
      </x:c>
      <x:c r="G109" s="6" t="str">
        <x:f>IFERROR(VLOOKUP(C109,Metric_Dictionary!$A:$I,4,FALSE),"")</x:f>
      </x:c>
      <x:c r="H109" s="6" t="str">
        <x:f>IFERROR(VLOOKUP(C109,Metric_Dictionary!$A:$I,9,FALSE),"")</x:f>
      </x:c>
      <x:c r="I109" s="6" t="str">
        <x:f>IFERROR(VLOOKUP(C109,Metric_Dictionary!$A:$I,5,FALSE),"")</x:f>
      </x:c>
      <x:c r="J109" s="6" t="str">
        <x:f>IFERROR(VLOOKUP(C109,Metric_Dictionary!$A:$I,6,FALSE),"")</x:f>
      </x:c>
      <x:c r="K109" s="6" t="str">
        <x:f>IFERROR(VLOOKUP(C109,Metric_Dictionary!$A:$I,7,FALSE),"")</x:f>
      </x:c>
    </x:row>
    <x:row r="110" ht="15.75" customHeight="1">
      <x:c r="A110" s="8" t="n">
        <x:f>Dashboard_Values!A111</x:f>
        <x:v>0</x:v>
      </x:c>
      <x:c r="B110" s="6" t="str">
        <x:f>IFERROR(VLOOKUP(C110,Metric_Dictionary!$A:$I,2,FALSE),"")</x:f>
      </x:c>
      <x:c r="C110" s="6" t="n">
        <x:f>Dashboard_Values!B111</x:f>
        <x:v>0</x:v>
      </x:c>
      <x:c r="D110" s="6" t="str">
        <x:f>IFERROR(VLOOKUP(C110,Metric_Dictionary!$A:$I,3,FALSE),"")</x:f>
      </x:c>
      <x:c r="E110" s="6" t="n">
        <x:f>Dashboard_Values!C111</x:f>
        <x:v>0</x:v>
      </x:c>
      <x:c r="F110" s="6" t="str">
        <x:f>IFERROR(VLOOKUP(C110,Metric_Dictionary!$A:$I,8,FALSE),"")</x:f>
      </x:c>
      <x:c r="G110" s="6" t="str">
        <x:f>IFERROR(VLOOKUP(C110,Metric_Dictionary!$A:$I,4,FALSE),"")</x:f>
      </x:c>
      <x:c r="H110" s="6" t="str">
        <x:f>IFERROR(VLOOKUP(C110,Metric_Dictionary!$A:$I,9,FALSE),"")</x:f>
      </x:c>
      <x:c r="I110" s="6" t="str">
        <x:f>IFERROR(VLOOKUP(C110,Metric_Dictionary!$A:$I,5,FALSE),"")</x:f>
      </x:c>
      <x:c r="J110" s="6" t="str">
        <x:f>IFERROR(VLOOKUP(C110,Metric_Dictionary!$A:$I,6,FALSE),"")</x:f>
      </x:c>
      <x:c r="K110" s="6" t="str">
        <x:f>IFERROR(VLOOKUP(C110,Metric_Dictionary!$A:$I,7,FALSE),"")</x:f>
      </x:c>
    </x:row>
    <x:row r="111" ht="15.75" customHeight="1">
      <x:c r="A111" s="8" t="n">
        <x:f>Dashboard_Values!A112</x:f>
        <x:v>0</x:v>
      </x:c>
      <x:c r="B111" s="6" t="str">
        <x:f>IFERROR(VLOOKUP(C111,Metric_Dictionary!$A:$I,2,FALSE),"")</x:f>
      </x:c>
      <x:c r="C111" s="6" t="n">
        <x:f>Dashboard_Values!B112</x:f>
        <x:v>0</x:v>
      </x:c>
      <x:c r="D111" s="6" t="str">
        <x:f>IFERROR(VLOOKUP(C111,Metric_Dictionary!$A:$I,3,FALSE),"")</x:f>
      </x:c>
      <x:c r="E111" s="6" t="n">
        <x:f>Dashboard_Values!C112</x:f>
        <x:v>0</x:v>
      </x:c>
      <x:c r="F111" s="6" t="str">
        <x:f>IFERROR(VLOOKUP(C111,Metric_Dictionary!$A:$I,8,FALSE),"")</x:f>
      </x:c>
      <x:c r="G111" s="6" t="str">
        <x:f>IFERROR(VLOOKUP(C111,Metric_Dictionary!$A:$I,4,FALSE),"")</x:f>
      </x:c>
      <x:c r="H111" s="6" t="str">
        <x:f>IFERROR(VLOOKUP(C111,Metric_Dictionary!$A:$I,9,FALSE),"")</x:f>
      </x:c>
      <x:c r="I111" s="6" t="str">
        <x:f>IFERROR(VLOOKUP(C111,Metric_Dictionary!$A:$I,5,FALSE),"")</x:f>
      </x:c>
      <x:c r="J111" s="6" t="str">
        <x:f>IFERROR(VLOOKUP(C111,Metric_Dictionary!$A:$I,6,FALSE),"")</x:f>
      </x:c>
      <x:c r="K111" s="6" t="str">
        <x:f>IFERROR(VLOOKUP(C111,Metric_Dictionary!$A:$I,7,FALSE),"")</x:f>
      </x:c>
    </x:row>
    <x:row r="112" ht="15.75" customHeight="1">
      <x:c r="A112" s="8" t="n">
        <x:f>Dashboard_Values!A113</x:f>
        <x:v>0</x:v>
      </x:c>
      <x:c r="B112" s="6" t="str">
        <x:f>IFERROR(VLOOKUP(C112,Metric_Dictionary!$A:$I,2,FALSE),"")</x:f>
      </x:c>
      <x:c r="C112" s="6" t="n">
        <x:f>Dashboard_Values!B113</x:f>
        <x:v>0</x:v>
      </x:c>
      <x:c r="D112" s="6" t="str">
        <x:f>IFERROR(VLOOKUP(C112,Metric_Dictionary!$A:$I,3,FALSE),"")</x:f>
      </x:c>
      <x:c r="E112" s="6" t="n">
        <x:f>Dashboard_Values!C113</x:f>
        <x:v>0</x:v>
      </x:c>
      <x:c r="F112" s="6" t="str">
        <x:f>IFERROR(VLOOKUP(C112,Metric_Dictionary!$A:$I,8,FALSE),"")</x:f>
      </x:c>
      <x:c r="G112" s="6" t="str">
        <x:f>IFERROR(VLOOKUP(C112,Metric_Dictionary!$A:$I,4,FALSE),"")</x:f>
      </x:c>
      <x:c r="H112" s="6" t="str">
        <x:f>IFERROR(VLOOKUP(C112,Metric_Dictionary!$A:$I,9,FALSE),"")</x:f>
      </x:c>
      <x:c r="I112" s="6" t="str">
        <x:f>IFERROR(VLOOKUP(C112,Metric_Dictionary!$A:$I,5,FALSE),"")</x:f>
      </x:c>
      <x:c r="J112" s="6" t="str">
        <x:f>IFERROR(VLOOKUP(C112,Metric_Dictionary!$A:$I,6,FALSE),"")</x:f>
      </x:c>
      <x:c r="K112" s="6" t="str">
        <x:f>IFERROR(VLOOKUP(C112,Metric_Dictionary!$A:$I,7,FALSE),"")</x:f>
      </x:c>
    </x:row>
    <x:row r="113" ht="15.75" customHeight="1">
      <x:c r="A113" s="8" t="n">
        <x:f>Dashboard_Values!A114</x:f>
        <x:v>0</x:v>
      </x:c>
      <x:c r="B113" s="6" t="str">
        <x:f>IFERROR(VLOOKUP(C113,Metric_Dictionary!$A:$I,2,FALSE),"")</x:f>
      </x:c>
      <x:c r="C113" s="6" t="n">
        <x:f>Dashboard_Values!B114</x:f>
        <x:v>0</x:v>
      </x:c>
      <x:c r="D113" s="6" t="str">
        <x:f>IFERROR(VLOOKUP(C113,Metric_Dictionary!$A:$I,3,FALSE),"")</x:f>
      </x:c>
      <x:c r="E113" s="6" t="n">
        <x:f>Dashboard_Values!C114</x:f>
        <x:v>0</x:v>
      </x:c>
      <x:c r="F113" s="6" t="str">
        <x:f>IFERROR(VLOOKUP(C113,Metric_Dictionary!$A:$I,8,FALSE),"")</x:f>
      </x:c>
      <x:c r="G113" s="6" t="str">
        <x:f>IFERROR(VLOOKUP(C113,Metric_Dictionary!$A:$I,4,FALSE),"")</x:f>
      </x:c>
      <x:c r="H113" s="6" t="str">
        <x:f>IFERROR(VLOOKUP(C113,Metric_Dictionary!$A:$I,9,FALSE),"")</x:f>
      </x:c>
      <x:c r="I113" s="6" t="str">
        <x:f>IFERROR(VLOOKUP(C113,Metric_Dictionary!$A:$I,5,FALSE),"")</x:f>
      </x:c>
      <x:c r="J113" s="6" t="str">
        <x:f>IFERROR(VLOOKUP(C113,Metric_Dictionary!$A:$I,6,FALSE),"")</x:f>
      </x:c>
      <x:c r="K113" s="6" t="str">
        <x:f>IFERROR(VLOOKUP(C113,Metric_Dictionary!$A:$I,7,FALSE),"")</x:f>
      </x:c>
    </x:row>
    <x:row r="114" ht="15.75" customHeight="1">
      <x:c r="A114" s="8" t="n">
        <x:f>Dashboard_Values!A115</x:f>
        <x:v>0</x:v>
      </x:c>
      <x:c r="B114" s="6" t="str">
        <x:f>IFERROR(VLOOKUP(C114,Metric_Dictionary!$A:$I,2,FALSE),"")</x:f>
      </x:c>
      <x:c r="C114" s="6" t="n">
        <x:f>Dashboard_Values!B115</x:f>
        <x:v>0</x:v>
      </x:c>
      <x:c r="D114" s="6" t="str">
        <x:f>IFERROR(VLOOKUP(C114,Metric_Dictionary!$A:$I,3,FALSE),"")</x:f>
      </x:c>
      <x:c r="E114" s="6" t="n">
        <x:f>Dashboard_Values!C115</x:f>
        <x:v>0</x:v>
      </x:c>
      <x:c r="F114" s="6" t="str">
        <x:f>IFERROR(VLOOKUP(C114,Metric_Dictionary!$A:$I,8,FALSE),"")</x:f>
      </x:c>
      <x:c r="G114" s="6" t="str">
        <x:f>IFERROR(VLOOKUP(C114,Metric_Dictionary!$A:$I,4,FALSE),"")</x:f>
      </x:c>
      <x:c r="H114" s="6" t="str">
        <x:f>IFERROR(VLOOKUP(C114,Metric_Dictionary!$A:$I,9,FALSE),"")</x:f>
      </x:c>
      <x:c r="I114" s="6" t="str">
        <x:f>IFERROR(VLOOKUP(C114,Metric_Dictionary!$A:$I,5,FALSE),"")</x:f>
      </x:c>
      <x:c r="J114" s="6" t="str">
        <x:f>IFERROR(VLOOKUP(C114,Metric_Dictionary!$A:$I,6,FALSE),"")</x:f>
      </x:c>
      <x:c r="K114" s="6" t="str">
        <x:f>IFERROR(VLOOKUP(C114,Metric_Dictionary!$A:$I,7,FALSE),"")</x:f>
      </x:c>
    </x:row>
    <x:row r="115" ht="15.75" customHeight="1">
      <x:c r="A115" s="8" t="n">
        <x:f>Dashboard_Values!A116</x:f>
        <x:v>0</x:v>
      </x:c>
      <x:c r="B115" s="6" t="str">
        <x:f>IFERROR(VLOOKUP(C115,Metric_Dictionary!$A:$I,2,FALSE),"")</x:f>
      </x:c>
      <x:c r="C115" s="6" t="n">
        <x:f>Dashboard_Values!B116</x:f>
        <x:v>0</x:v>
      </x:c>
      <x:c r="D115" s="6" t="str">
        <x:f>IFERROR(VLOOKUP(C115,Metric_Dictionary!$A:$I,3,FALSE),"")</x:f>
      </x:c>
      <x:c r="E115" s="6" t="n">
        <x:f>Dashboard_Values!C116</x:f>
        <x:v>0</x:v>
      </x:c>
      <x:c r="F115" s="6" t="str">
        <x:f>IFERROR(VLOOKUP(C115,Metric_Dictionary!$A:$I,8,FALSE),"")</x:f>
      </x:c>
      <x:c r="G115" s="6" t="str">
        <x:f>IFERROR(VLOOKUP(C115,Metric_Dictionary!$A:$I,4,FALSE),"")</x:f>
      </x:c>
      <x:c r="H115" s="6" t="str">
        <x:f>IFERROR(VLOOKUP(C115,Metric_Dictionary!$A:$I,9,FALSE),"")</x:f>
      </x:c>
      <x:c r="I115" s="6" t="str">
        <x:f>IFERROR(VLOOKUP(C115,Metric_Dictionary!$A:$I,5,FALSE),"")</x:f>
      </x:c>
      <x:c r="J115" s="6" t="str">
        <x:f>IFERROR(VLOOKUP(C115,Metric_Dictionary!$A:$I,6,FALSE),"")</x:f>
      </x:c>
      <x:c r="K115" s="6" t="str">
        <x:f>IFERROR(VLOOKUP(C115,Metric_Dictionary!$A:$I,7,FALSE),"")</x:f>
      </x:c>
    </x:row>
    <x:row r="116" ht="15.75" customHeight="1">
      <x:c r="A116" s="8" t="n">
        <x:f>Dashboard_Values!A117</x:f>
        <x:v>0</x:v>
      </x:c>
      <x:c r="B116" s="6" t="str">
        <x:f>IFERROR(VLOOKUP(C116,Metric_Dictionary!$A:$I,2,FALSE),"")</x:f>
      </x:c>
      <x:c r="C116" s="6" t="n">
        <x:f>Dashboard_Values!B117</x:f>
        <x:v>0</x:v>
      </x:c>
      <x:c r="D116" s="6" t="str">
        <x:f>IFERROR(VLOOKUP(C116,Metric_Dictionary!$A:$I,3,FALSE),"")</x:f>
      </x:c>
      <x:c r="E116" s="6" t="n">
        <x:f>Dashboard_Values!C117</x:f>
        <x:v>0</x:v>
      </x:c>
      <x:c r="F116" s="6" t="str">
        <x:f>IFERROR(VLOOKUP(C116,Metric_Dictionary!$A:$I,8,FALSE),"")</x:f>
      </x:c>
      <x:c r="G116" s="6" t="str">
        <x:f>IFERROR(VLOOKUP(C116,Metric_Dictionary!$A:$I,4,FALSE),"")</x:f>
      </x:c>
      <x:c r="H116" s="6" t="str">
        <x:f>IFERROR(VLOOKUP(C116,Metric_Dictionary!$A:$I,9,FALSE),"")</x:f>
      </x:c>
      <x:c r="I116" s="6" t="str">
        <x:f>IFERROR(VLOOKUP(C116,Metric_Dictionary!$A:$I,5,FALSE),"")</x:f>
      </x:c>
      <x:c r="J116" s="6" t="str">
        <x:f>IFERROR(VLOOKUP(C116,Metric_Dictionary!$A:$I,6,FALSE),"")</x:f>
      </x:c>
      <x:c r="K116" s="6" t="str">
        <x:f>IFERROR(VLOOKUP(C116,Metric_Dictionary!$A:$I,7,FALSE),"")</x:f>
      </x:c>
    </x:row>
    <x:row r="117" ht="15.75" customHeight="1">
      <x:c r="A117" s="8" t="n">
        <x:f>Dashboard_Values!A118</x:f>
        <x:v>0</x:v>
      </x:c>
      <x:c r="B117" s="6" t="str">
        <x:f>IFERROR(VLOOKUP(C117,Metric_Dictionary!$A:$I,2,FALSE),"")</x:f>
      </x:c>
      <x:c r="C117" s="6" t="n">
        <x:f>Dashboard_Values!B118</x:f>
        <x:v>0</x:v>
      </x:c>
      <x:c r="D117" s="6" t="str">
        <x:f>IFERROR(VLOOKUP(C117,Metric_Dictionary!$A:$I,3,FALSE),"")</x:f>
      </x:c>
      <x:c r="E117" s="6" t="n">
        <x:f>Dashboard_Values!C118</x:f>
        <x:v>0</x:v>
      </x:c>
      <x:c r="F117" s="6" t="str">
        <x:f>IFERROR(VLOOKUP(C117,Metric_Dictionary!$A:$I,8,FALSE),"")</x:f>
      </x:c>
      <x:c r="G117" s="6" t="str">
        <x:f>IFERROR(VLOOKUP(C117,Metric_Dictionary!$A:$I,4,FALSE),"")</x:f>
      </x:c>
      <x:c r="H117" s="6" t="str">
        <x:f>IFERROR(VLOOKUP(C117,Metric_Dictionary!$A:$I,9,FALSE),"")</x:f>
      </x:c>
      <x:c r="I117" s="6" t="str">
        <x:f>IFERROR(VLOOKUP(C117,Metric_Dictionary!$A:$I,5,FALSE),"")</x:f>
      </x:c>
      <x:c r="J117" s="6" t="str">
        <x:f>IFERROR(VLOOKUP(C117,Metric_Dictionary!$A:$I,6,FALSE),"")</x:f>
      </x:c>
      <x:c r="K117" s="6" t="str">
        <x:f>IFERROR(VLOOKUP(C117,Metric_Dictionary!$A:$I,7,FALSE),"")</x:f>
      </x:c>
    </x:row>
    <x:row r="118" ht="15.75" customHeight="1">
      <x:c r="A118" s="8" t="n">
        <x:f>Dashboard_Values!A119</x:f>
        <x:v>0</x:v>
      </x:c>
      <x:c r="B118" s="6" t="str">
        <x:f>IFERROR(VLOOKUP(C118,Metric_Dictionary!$A:$I,2,FALSE),"")</x:f>
      </x:c>
      <x:c r="C118" s="6" t="n">
        <x:f>Dashboard_Values!B119</x:f>
        <x:v>0</x:v>
      </x:c>
      <x:c r="D118" s="6" t="str">
        <x:f>IFERROR(VLOOKUP(C118,Metric_Dictionary!$A:$I,3,FALSE),"")</x:f>
      </x:c>
      <x:c r="E118" s="6" t="n">
        <x:f>Dashboard_Values!C119</x:f>
        <x:v>0</x:v>
      </x:c>
      <x:c r="F118" s="6" t="str">
        <x:f>IFERROR(VLOOKUP(C118,Metric_Dictionary!$A:$I,8,FALSE),"")</x:f>
      </x:c>
      <x:c r="G118" s="6" t="str">
        <x:f>IFERROR(VLOOKUP(C118,Metric_Dictionary!$A:$I,4,FALSE),"")</x:f>
      </x:c>
      <x:c r="H118" s="6" t="str">
        <x:f>IFERROR(VLOOKUP(C118,Metric_Dictionary!$A:$I,9,FALSE),"")</x:f>
      </x:c>
      <x:c r="I118" s="6" t="str">
        <x:f>IFERROR(VLOOKUP(C118,Metric_Dictionary!$A:$I,5,FALSE),"")</x:f>
      </x:c>
      <x:c r="J118" s="6" t="str">
        <x:f>IFERROR(VLOOKUP(C118,Metric_Dictionary!$A:$I,6,FALSE),"")</x:f>
      </x:c>
      <x:c r="K118" s="6" t="str">
        <x:f>IFERROR(VLOOKUP(C118,Metric_Dictionary!$A:$I,7,FALSE),"")</x:f>
      </x:c>
    </x:row>
    <x:row r="119" ht="15.75" customHeight="1">
      <x:c r="A119" s="8" t="n">
        <x:f>Dashboard_Values!A120</x:f>
        <x:v>0</x:v>
      </x:c>
      <x:c r="B119" s="6" t="str">
        <x:f>IFERROR(VLOOKUP(C119,Metric_Dictionary!$A:$I,2,FALSE),"")</x:f>
      </x:c>
      <x:c r="C119" s="6" t="n">
        <x:f>Dashboard_Values!B120</x:f>
        <x:v>0</x:v>
      </x:c>
      <x:c r="D119" s="6" t="str">
        <x:f>IFERROR(VLOOKUP(C119,Metric_Dictionary!$A:$I,3,FALSE),"")</x:f>
      </x:c>
      <x:c r="E119" s="6" t="n">
        <x:f>Dashboard_Values!C120</x:f>
        <x:v>0</x:v>
      </x:c>
      <x:c r="F119" s="6" t="str">
        <x:f>IFERROR(VLOOKUP(C119,Metric_Dictionary!$A:$I,8,FALSE),"")</x:f>
      </x:c>
      <x:c r="G119" s="6" t="str">
        <x:f>IFERROR(VLOOKUP(C119,Metric_Dictionary!$A:$I,4,FALSE),"")</x:f>
      </x:c>
      <x:c r="H119" s="6" t="str">
        <x:f>IFERROR(VLOOKUP(C119,Metric_Dictionary!$A:$I,9,FALSE),"")</x:f>
      </x:c>
      <x:c r="I119" s="6" t="str">
        <x:f>IFERROR(VLOOKUP(C119,Metric_Dictionary!$A:$I,5,FALSE),"")</x:f>
      </x:c>
      <x:c r="J119" s="6" t="str">
        <x:f>IFERROR(VLOOKUP(C119,Metric_Dictionary!$A:$I,6,FALSE),"")</x:f>
      </x:c>
      <x:c r="K119" s="6" t="str">
        <x:f>IFERROR(VLOOKUP(C119,Metric_Dictionary!$A:$I,7,FALSE),"")</x:f>
      </x:c>
    </x:row>
    <x:row r="120" ht="15.75" customHeight="1">
      <x:c r="A120" s="8" t="n">
        <x:f>Dashboard_Values!A121</x:f>
        <x:v>0</x:v>
      </x:c>
      <x:c r="B120" s="6" t="str">
        <x:f>IFERROR(VLOOKUP(C120,Metric_Dictionary!$A:$I,2,FALSE),"")</x:f>
      </x:c>
      <x:c r="C120" s="6" t="n">
        <x:f>Dashboard_Values!B121</x:f>
        <x:v>0</x:v>
      </x:c>
      <x:c r="D120" s="6" t="str">
        <x:f>IFERROR(VLOOKUP(C120,Metric_Dictionary!$A:$I,3,FALSE),"")</x:f>
      </x:c>
      <x:c r="E120" s="6" t="n">
        <x:f>Dashboard_Values!C121</x:f>
        <x:v>0</x:v>
      </x:c>
      <x:c r="F120" s="6" t="str">
        <x:f>IFERROR(VLOOKUP(C120,Metric_Dictionary!$A:$I,8,FALSE),"")</x:f>
      </x:c>
      <x:c r="G120" s="6" t="str">
        <x:f>IFERROR(VLOOKUP(C120,Metric_Dictionary!$A:$I,4,FALSE),"")</x:f>
      </x:c>
      <x:c r="H120" s="6" t="str">
        <x:f>IFERROR(VLOOKUP(C120,Metric_Dictionary!$A:$I,9,FALSE),"")</x:f>
      </x:c>
      <x:c r="I120" s="6" t="str">
        <x:f>IFERROR(VLOOKUP(C120,Metric_Dictionary!$A:$I,5,FALSE),"")</x:f>
      </x:c>
      <x:c r="J120" s="6" t="str">
        <x:f>IFERROR(VLOOKUP(C120,Metric_Dictionary!$A:$I,6,FALSE),"")</x:f>
      </x:c>
      <x:c r="K120" s="6" t="str">
        <x:f>IFERROR(VLOOKUP(C120,Metric_Dictionary!$A:$I,7,FALSE),"")</x:f>
      </x:c>
    </x:row>
    <x:row r="121" ht="15.75" customHeight="1">
      <x:c r="A121" s="8" t="n">
        <x:f>Dashboard_Values!A122</x:f>
        <x:v>0</x:v>
      </x:c>
      <x:c r="B121" s="6" t="str">
        <x:f>IFERROR(VLOOKUP(C121,Metric_Dictionary!$A:$I,2,FALSE),"")</x:f>
      </x:c>
      <x:c r="C121" s="6" t="n">
        <x:f>Dashboard_Values!B122</x:f>
        <x:v>0</x:v>
      </x:c>
      <x:c r="D121" s="6" t="str">
        <x:f>IFERROR(VLOOKUP(C121,Metric_Dictionary!$A:$I,3,FALSE),"")</x:f>
      </x:c>
      <x:c r="E121" s="6" t="n">
        <x:f>Dashboard_Values!C122</x:f>
        <x:v>0</x:v>
      </x:c>
      <x:c r="F121" s="6" t="str">
        <x:f>IFERROR(VLOOKUP(C121,Metric_Dictionary!$A:$I,8,FALSE),"")</x:f>
      </x:c>
      <x:c r="G121" s="6" t="str">
        <x:f>IFERROR(VLOOKUP(C121,Metric_Dictionary!$A:$I,4,FALSE),"")</x:f>
      </x:c>
      <x:c r="H121" s="6" t="str">
        <x:f>IFERROR(VLOOKUP(C121,Metric_Dictionary!$A:$I,9,FALSE),"")</x:f>
      </x:c>
      <x:c r="I121" s="6" t="str">
        <x:f>IFERROR(VLOOKUP(C121,Metric_Dictionary!$A:$I,5,FALSE),"")</x:f>
      </x:c>
      <x:c r="J121" s="6" t="str">
        <x:f>IFERROR(VLOOKUP(C121,Metric_Dictionary!$A:$I,6,FALSE),"")</x:f>
      </x:c>
      <x:c r="K121" s="6" t="str">
        <x:f>IFERROR(VLOOKUP(C121,Metric_Dictionary!$A:$I,7,FALSE),"")</x:f>
      </x:c>
    </x:row>
    <x:row r="122" ht="15.75" customHeight="1">
      <x:c r="A122" s="8" t="n">
        <x:f>Dashboard_Values!A123</x:f>
        <x:v>0</x:v>
      </x:c>
      <x:c r="B122" s="6" t="str">
        <x:f>IFERROR(VLOOKUP(C122,Metric_Dictionary!$A:$I,2,FALSE),"")</x:f>
      </x:c>
      <x:c r="C122" s="6" t="n">
        <x:f>Dashboard_Values!B123</x:f>
        <x:v>0</x:v>
      </x:c>
      <x:c r="D122" s="6" t="str">
        <x:f>IFERROR(VLOOKUP(C122,Metric_Dictionary!$A:$I,3,FALSE),"")</x:f>
      </x:c>
      <x:c r="E122" s="6" t="n">
        <x:f>Dashboard_Values!C123</x:f>
        <x:v>0</x:v>
      </x:c>
      <x:c r="F122" s="6" t="str">
        <x:f>IFERROR(VLOOKUP(C122,Metric_Dictionary!$A:$I,8,FALSE),"")</x:f>
      </x:c>
      <x:c r="G122" s="6" t="str">
        <x:f>IFERROR(VLOOKUP(C122,Metric_Dictionary!$A:$I,4,FALSE),"")</x:f>
      </x:c>
      <x:c r="H122" s="6" t="str">
        <x:f>IFERROR(VLOOKUP(C122,Metric_Dictionary!$A:$I,9,FALSE),"")</x:f>
      </x:c>
      <x:c r="I122" s="6" t="str">
        <x:f>IFERROR(VLOOKUP(C122,Metric_Dictionary!$A:$I,5,FALSE),"")</x:f>
      </x:c>
      <x:c r="J122" s="6" t="str">
        <x:f>IFERROR(VLOOKUP(C122,Metric_Dictionary!$A:$I,6,FALSE),"")</x:f>
      </x:c>
      <x:c r="K122" s="6" t="str">
        <x:f>IFERROR(VLOOKUP(C122,Metric_Dictionary!$A:$I,7,FALSE),"")</x:f>
      </x:c>
    </x:row>
    <x:row r="123" ht="15.75" customHeight="1">
      <x:c r="A123" s="8" t="n">
        <x:f>Dashboard_Values!A124</x:f>
        <x:v>0</x:v>
      </x:c>
      <x:c r="B123" s="6" t="str">
        <x:f>IFERROR(VLOOKUP(C123,Metric_Dictionary!$A:$I,2,FALSE),"")</x:f>
      </x:c>
      <x:c r="C123" s="6" t="n">
        <x:f>Dashboard_Values!B124</x:f>
        <x:v>0</x:v>
      </x:c>
      <x:c r="D123" s="6" t="str">
        <x:f>IFERROR(VLOOKUP(C123,Metric_Dictionary!$A:$I,3,FALSE),"")</x:f>
      </x:c>
      <x:c r="E123" s="6" t="n">
        <x:f>Dashboard_Values!C124</x:f>
        <x:v>0</x:v>
      </x:c>
      <x:c r="F123" s="6" t="str">
        <x:f>IFERROR(VLOOKUP(C123,Metric_Dictionary!$A:$I,8,FALSE),"")</x:f>
      </x:c>
      <x:c r="G123" s="6" t="str">
        <x:f>IFERROR(VLOOKUP(C123,Metric_Dictionary!$A:$I,4,FALSE),"")</x:f>
      </x:c>
      <x:c r="H123" s="6" t="str">
        <x:f>IFERROR(VLOOKUP(C123,Metric_Dictionary!$A:$I,9,FALSE),"")</x:f>
      </x:c>
      <x:c r="I123" s="6" t="str">
        <x:f>IFERROR(VLOOKUP(C123,Metric_Dictionary!$A:$I,5,FALSE),"")</x:f>
      </x:c>
      <x:c r="J123" s="6" t="str">
        <x:f>IFERROR(VLOOKUP(C123,Metric_Dictionary!$A:$I,6,FALSE),"")</x:f>
      </x:c>
      <x:c r="K123" s="6" t="str">
        <x:f>IFERROR(VLOOKUP(C123,Metric_Dictionary!$A:$I,7,FALSE),"")</x:f>
      </x:c>
    </x:row>
    <x:row r="124" ht="15.75" customHeight="1">
      <x:c r="A124" s="8" t="n">
        <x:f>Dashboard_Values!A125</x:f>
        <x:v>0</x:v>
      </x:c>
      <x:c r="B124" s="6" t="str">
        <x:f>IFERROR(VLOOKUP(C124,Metric_Dictionary!$A:$I,2,FALSE),"")</x:f>
      </x:c>
      <x:c r="C124" s="6" t="n">
        <x:f>Dashboard_Values!B125</x:f>
        <x:v>0</x:v>
      </x:c>
      <x:c r="D124" s="6" t="str">
        <x:f>IFERROR(VLOOKUP(C124,Metric_Dictionary!$A:$I,3,FALSE),"")</x:f>
      </x:c>
      <x:c r="E124" s="6" t="n">
        <x:f>Dashboard_Values!C125</x:f>
        <x:v>0</x:v>
      </x:c>
      <x:c r="F124" s="6" t="str">
        <x:f>IFERROR(VLOOKUP(C124,Metric_Dictionary!$A:$I,8,FALSE),"")</x:f>
      </x:c>
      <x:c r="G124" s="6" t="str">
        <x:f>IFERROR(VLOOKUP(C124,Metric_Dictionary!$A:$I,4,FALSE),"")</x:f>
      </x:c>
      <x:c r="H124" s="6" t="str">
        <x:f>IFERROR(VLOOKUP(C124,Metric_Dictionary!$A:$I,9,FALSE),"")</x:f>
      </x:c>
      <x:c r="I124" s="6" t="str">
        <x:f>IFERROR(VLOOKUP(C124,Metric_Dictionary!$A:$I,5,FALSE),"")</x:f>
      </x:c>
      <x:c r="J124" s="6" t="str">
        <x:f>IFERROR(VLOOKUP(C124,Metric_Dictionary!$A:$I,6,FALSE),"")</x:f>
      </x:c>
      <x:c r="K124" s="6" t="str">
        <x:f>IFERROR(VLOOKUP(C124,Metric_Dictionary!$A:$I,7,FALSE),"")</x:f>
      </x:c>
    </x:row>
    <x:row r="125" ht="15.75" customHeight="1">
      <x:c r="A125" s="8" t="n">
        <x:f>Dashboard_Values!A126</x:f>
        <x:v>0</x:v>
      </x:c>
      <x:c r="B125" s="6" t="str">
        <x:f>IFERROR(VLOOKUP(C125,Metric_Dictionary!$A:$I,2,FALSE),"")</x:f>
      </x:c>
      <x:c r="C125" s="6" t="n">
        <x:f>Dashboard_Values!B126</x:f>
        <x:v>0</x:v>
      </x:c>
      <x:c r="D125" s="6" t="str">
        <x:f>IFERROR(VLOOKUP(C125,Metric_Dictionary!$A:$I,3,FALSE),"")</x:f>
      </x:c>
      <x:c r="E125" s="6" t="n">
        <x:f>Dashboard_Values!C126</x:f>
        <x:v>0</x:v>
      </x:c>
      <x:c r="F125" s="6" t="str">
        <x:f>IFERROR(VLOOKUP(C125,Metric_Dictionary!$A:$I,8,FALSE),"")</x:f>
      </x:c>
      <x:c r="G125" s="6" t="str">
        <x:f>IFERROR(VLOOKUP(C125,Metric_Dictionary!$A:$I,4,FALSE),"")</x:f>
      </x:c>
      <x:c r="H125" s="6" t="str">
        <x:f>IFERROR(VLOOKUP(C125,Metric_Dictionary!$A:$I,9,FALSE),"")</x:f>
      </x:c>
      <x:c r="I125" s="6" t="str">
        <x:f>IFERROR(VLOOKUP(C125,Metric_Dictionary!$A:$I,5,FALSE),"")</x:f>
      </x:c>
      <x:c r="J125" s="6" t="str">
        <x:f>IFERROR(VLOOKUP(C125,Metric_Dictionary!$A:$I,6,FALSE),"")</x:f>
      </x:c>
      <x:c r="K125" s="6" t="str">
        <x:f>IFERROR(VLOOKUP(C125,Metric_Dictionary!$A:$I,7,FALSE),"")</x:f>
      </x:c>
    </x:row>
    <x:row r="126" ht="15.75" customHeight="1">
      <x:c r="A126" s="8" t="n">
        <x:f>Dashboard_Values!A127</x:f>
        <x:v>0</x:v>
      </x:c>
      <x:c r="B126" s="6" t="str">
        <x:f>IFERROR(VLOOKUP(C126,Metric_Dictionary!$A:$I,2,FALSE),"")</x:f>
      </x:c>
      <x:c r="C126" s="6" t="n">
        <x:f>Dashboard_Values!B127</x:f>
        <x:v>0</x:v>
      </x:c>
      <x:c r="D126" s="6" t="str">
        <x:f>IFERROR(VLOOKUP(C126,Metric_Dictionary!$A:$I,3,FALSE),"")</x:f>
      </x:c>
      <x:c r="E126" s="6" t="n">
        <x:f>Dashboard_Values!C127</x:f>
        <x:v>0</x:v>
      </x:c>
      <x:c r="F126" s="6" t="str">
        <x:f>IFERROR(VLOOKUP(C126,Metric_Dictionary!$A:$I,8,FALSE),"")</x:f>
      </x:c>
      <x:c r="G126" s="6" t="str">
        <x:f>IFERROR(VLOOKUP(C126,Metric_Dictionary!$A:$I,4,FALSE),"")</x:f>
      </x:c>
      <x:c r="H126" s="6" t="str">
        <x:f>IFERROR(VLOOKUP(C126,Metric_Dictionary!$A:$I,9,FALSE),"")</x:f>
      </x:c>
      <x:c r="I126" s="6" t="str">
        <x:f>IFERROR(VLOOKUP(C126,Metric_Dictionary!$A:$I,5,FALSE),"")</x:f>
      </x:c>
      <x:c r="J126" s="6" t="str">
        <x:f>IFERROR(VLOOKUP(C126,Metric_Dictionary!$A:$I,6,FALSE),"")</x:f>
      </x:c>
      <x:c r="K126" s="6" t="str">
        <x:f>IFERROR(VLOOKUP(C126,Metric_Dictionary!$A:$I,7,FALSE),"")</x:f>
      </x:c>
    </x:row>
    <x:row r="127" ht="15.75" customHeight="1">
      <x:c r="A127" s="8" t="n">
        <x:f>Dashboard_Values!A128</x:f>
        <x:v>0</x:v>
      </x:c>
      <x:c r="B127" s="6" t="str">
        <x:f>IFERROR(VLOOKUP(C127,Metric_Dictionary!$A:$I,2,FALSE),"")</x:f>
      </x:c>
      <x:c r="C127" s="6" t="n">
        <x:f>Dashboard_Values!B128</x:f>
        <x:v>0</x:v>
      </x:c>
      <x:c r="D127" s="6" t="str">
        <x:f>IFERROR(VLOOKUP(C127,Metric_Dictionary!$A:$I,3,FALSE),"")</x:f>
      </x:c>
      <x:c r="E127" s="6" t="n">
        <x:f>Dashboard_Values!C128</x:f>
        <x:v>0</x:v>
      </x:c>
      <x:c r="F127" s="6" t="str">
        <x:f>IFERROR(VLOOKUP(C127,Metric_Dictionary!$A:$I,8,FALSE),"")</x:f>
      </x:c>
      <x:c r="G127" s="6" t="str">
        <x:f>IFERROR(VLOOKUP(C127,Metric_Dictionary!$A:$I,4,FALSE),"")</x:f>
      </x:c>
      <x:c r="H127" s="6" t="str">
        <x:f>IFERROR(VLOOKUP(C127,Metric_Dictionary!$A:$I,9,FALSE),"")</x:f>
      </x:c>
      <x:c r="I127" s="6" t="str">
        <x:f>IFERROR(VLOOKUP(C127,Metric_Dictionary!$A:$I,5,FALSE),"")</x:f>
      </x:c>
      <x:c r="J127" s="6" t="str">
        <x:f>IFERROR(VLOOKUP(C127,Metric_Dictionary!$A:$I,6,FALSE),"")</x:f>
      </x:c>
      <x:c r="K127" s="6" t="str">
        <x:f>IFERROR(VLOOKUP(C127,Metric_Dictionary!$A:$I,7,FALSE),"")</x:f>
      </x:c>
    </x:row>
    <x:row r="128" ht="15.75" customHeight="1">
      <x:c r="A128" s="8" t="n">
        <x:f>Dashboard_Values!A129</x:f>
        <x:v>0</x:v>
      </x:c>
      <x:c r="B128" s="6" t="str">
        <x:f>IFERROR(VLOOKUP(C128,Metric_Dictionary!$A:$I,2,FALSE),"")</x:f>
      </x:c>
      <x:c r="C128" s="6" t="n">
        <x:f>Dashboard_Values!B129</x:f>
        <x:v>0</x:v>
      </x:c>
      <x:c r="D128" s="6" t="str">
        <x:f>IFERROR(VLOOKUP(C128,Metric_Dictionary!$A:$I,3,FALSE),"")</x:f>
      </x:c>
      <x:c r="E128" s="6" t="n">
        <x:f>Dashboard_Values!C129</x:f>
        <x:v>0</x:v>
      </x:c>
      <x:c r="F128" s="6" t="str">
        <x:f>IFERROR(VLOOKUP(C128,Metric_Dictionary!$A:$I,8,FALSE),"")</x:f>
      </x:c>
      <x:c r="G128" s="6" t="str">
        <x:f>IFERROR(VLOOKUP(C128,Metric_Dictionary!$A:$I,4,FALSE),"")</x:f>
      </x:c>
      <x:c r="H128" s="6" t="str">
        <x:f>IFERROR(VLOOKUP(C128,Metric_Dictionary!$A:$I,9,FALSE),"")</x:f>
      </x:c>
      <x:c r="I128" s="6" t="str">
        <x:f>IFERROR(VLOOKUP(C128,Metric_Dictionary!$A:$I,5,FALSE),"")</x:f>
      </x:c>
      <x:c r="J128" s="6" t="str">
        <x:f>IFERROR(VLOOKUP(C128,Metric_Dictionary!$A:$I,6,FALSE),"")</x:f>
      </x:c>
      <x:c r="K128" s="6" t="str">
        <x:f>IFERROR(VLOOKUP(C128,Metric_Dictionary!$A:$I,7,FALSE),"")</x:f>
      </x:c>
    </x:row>
    <x:row r="129" ht="15.75" customHeight="1">
      <x:c r="A129" s="8" t="n">
        <x:f>Dashboard_Values!A130</x:f>
        <x:v>0</x:v>
      </x:c>
      <x:c r="B129" s="6" t="str">
        <x:f>IFERROR(VLOOKUP(C129,Metric_Dictionary!$A:$I,2,FALSE),"")</x:f>
      </x:c>
      <x:c r="C129" s="6" t="n">
        <x:f>Dashboard_Values!B130</x:f>
        <x:v>0</x:v>
      </x:c>
      <x:c r="D129" s="6" t="str">
        <x:f>IFERROR(VLOOKUP(C129,Metric_Dictionary!$A:$I,3,FALSE),"")</x:f>
      </x:c>
      <x:c r="E129" s="6" t="n">
        <x:f>Dashboard_Values!C130</x:f>
        <x:v>0</x:v>
      </x:c>
      <x:c r="F129" s="6" t="str">
        <x:f>IFERROR(VLOOKUP(C129,Metric_Dictionary!$A:$I,8,FALSE),"")</x:f>
      </x:c>
      <x:c r="G129" s="6" t="str">
        <x:f>IFERROR(VLOOKUP(C129,Metric_Dictionary!$A:$I,4,FALSE),"")</x:f>
      </x:c>
      <x:c r="H129" s="6" t="str">
        <x:f>IFERROR(VLOOKUP(C129,Metric_Dictionary!$A:$I,9,FALSE),"")</x:f>
      </x:c>
      <x:c r="I129" s="6" t="str">
        <x:f>IFERROR(VLOOKUP(C129,Metric_Dictionary!$A:$I,5,FALSE),"")</x:f>
      </x:c>
      <x:c r="J129" s="6" t="str">
        <x:f>IFERROR(VLOOKUP(C129,Metric_Dictionary!$A:$I,6,FALSE),"")</x:f>
      </x:c>
      <x:c r="K129" s="6" t="str">
        <x:f>IFERROR(VLOOKUP(C129,Metric_Dictionary!$A:$I,7,FALSE),"")</x:f>
      </x:c>
    </x:row>
    <x:row r="130" ht="15.75" customHeight="1">
      <x:c r="A130" s="8" t="n">
        <x:f>Dashboard_Values!A131</x:f>
        <x:v>0</x:v>
      </x:c>
      <x:c r="B130" s="6" t="str">
        <x:f>IFERROR(VLOOKUP(C130,Metric_Dictionary!$A:$I,2,FALSE),"")</x:f>
      </x:c>
      <x:c r="C130" s="6" t="n">
        <x:f>Dashboard_Values!B131</x:f>
        <x:v>0</x:v>
      </x:c>
      <x:c r="D130" s="6" t="str">
        <x:f>IFERROR(VLOOKUP(C130,Metric_Dictionary!$A:$I,3,FALSE),"")</x:f>
      </x:c>
      <x:c r="E130" s="6" t="n">
        <x:f>Dashboard_Values!C131</x:f>
        <x:v>0</x:v>
      </x:c>
      <x:c r="F130" s="6" t="str">
        <x:f>IFERROR(VLOOKUP(C130,Metric_Dictionary!$A:$I,8,FALSE),"")</x:f>
      </x:c>
      <x:c r="G130" s="6" t="str">
        <x:f>IFERROR(VLOOKUP(C130,Metric_Dictionary!$A:$I,4,FALSE),"")</x:f>
      </x:c>
      <x:c r="H130" s="6" t="str">
        <x:f>IFERROR(VLOOKUP(C130,Metric_Dictionary!$A:$I,9,FALSE),"")</x:f>
      </x:c>
      <x:c r="I130" s="6" t="str">
        <x:f>IFERROR(VLOOKUP(C130,Metric_Dictionary!$A:$I,5,FALSE),"")</x:f>
      </x:c>
      <x:c r="J130" s="6" t="str">
        <x:f>IFERROR(VLOOKUP(C130,Metric_Dictionary!$A:$I,6,FALSE),"")</x:f>
      </x:c>
      <x:c r="K130" s="6" t="str">
        <x:f>IFERROR(VLOOKUP(C130,Metric_Dictionary!$A:$I,7,FALSE),"")</x:f>
      </x:c>
    </x:row>
    <x:row r="131" ht="15.75" customHeight="1">
      <x:c r="A131" s="8" t="n">
        <x:f>Dashboard_Values!A132</x:f>
        <x:v>0</x:v>
      </x:c>
      <x:c r="B131" s="6" t="str">
        <x:f>IFERROR(VLOOKUP(C131,Metric_Dictionary!$A:$I,2,FALSE),"")</x:f>
      </x:c>
      <x:c r="C131" s="6" t="n">
        <x:f>Dashboard_Values!B132</x:f>
        <x:v>0</x:v>
      </x:c>
      <x:c r="D131" s="6" t="str">
        <x:f>IFERROR(VLOOKUP(C131,Metric_Dictionary!$A:$I,3,FALSE),"")</x:f>
      </x:c>
      <x:c r="E131" s="6" t="n">
        <x:f>Dashboard_Values!C132</x:f>
        <x:v>0</x:v>
      </x:c>
      <x:c r="F131" s="6" t="str">
        <x:f>IFERROR(VLOOKUP(C131,Metric_Dictionary!$A:$I,8,FALSE),"")</x:f>
      </x:c>
      <x:c r="G131" s="6" t="str">
        <x:f>IFERROR(VLOOKUP(C131,Metric_Dictionary!$A:$I,4,FALSE),"")</x:f>
      </x:c>
      <x:c r="H131" s="6" t="str">
        <x:f>IFERROR(VLOOKUP(C131,Metric_Dictionary!$A:$I,9,FALSE),"")</x:f>
      </x:c>
      <x:c r="I131" s="6" t="str">
        <x:f>IFERROR(VLOOKUP(C131,Metric_Dictionary!$A:$I,5,FALSE),"")</x:f>
      </x:c>
      <x:c r="J131" s="6" t="str">
        <x:f>IFERROR(VLOOKUP(C131,Metric_Dictionary!$A:$I,6,FALSE),"")</x:f>
      </x:c>
      <x:c r="K131" s="6" t="str">
        <x:f>IFERROR(VLOOKUP(C131,Metric_Dictionary!$A:$I,7,FALSE),"")</x:f>
      </x:c>
    </x:row>
    <x:row r="132" ht="15.75" customHeight="1">
      <x:c r="A132" s="8" t="n">
        <x:f>Dashboard_Values!A133</x:f>
        <x:v>0</x:v>
      </x:c>
      <x:c r="B132" s="6" t="str">
        <x:f>IFERROR(VLOOKUP(C132,Metric_Dictionary!$A:$I,2,FALSE),"")</x:f>
      </x:c>
      <x:c r="C132" s="6" t="n">
        <x:f>Dashboard_Values!B133</x:f>
        <x:v>0</x:v>
      </x:c>
      <x:c r="D132" s="6" t="str">
        <x:f>IFERROR(VLOOKUP(C132,Metric_Dictionary!$A:$I,3,FALSE),"")</x:f>
      </x:c>
      <x:c r="E132" s="6" t="n">
        <x:f>Dashboard_Values!C133</x:f>
        <x:v>0</x:v>
      </x:c>
      <x:c r="F132" s="6" t="str">
        <x:f>IFERROR(VLOOKUP(C132,Metric_Dictionary!$A:$I,8,FALSE),"")</x:f>
      </x:c>
      <x:c r="G132" s="6" t="str">
        <x:f>IFERROR(VLOOKUP(C132,Metric_Dictionary!$A:$I,4,FALSE),"")</x:f>
      </x:c>
      <x:c r="H132" s="6" t="str">
        <x:f>IFERROR(VLOOKUP(C132,Metric_Dictionary!$A:$I,9,FALSE),"")</x:f>
      </x:c>
      <x:c r="I132" s="6" t="str">
        <x:f>IFERROR(VLOOKUP(C132,Metric_Dictionary!$A:$I,5,FALSE),"")</x:f>
      </x:c>
      <x:c r="J132" s="6" t="str">
        <x:f>IFERROR(VLOOKUP(C132,Metric_Dictionary!$A:$I,6,FALSE),"")</x:f>
      </x:c>
      <x:c r="K132" s="6" t="str">
        <x:f>IFERROR(VLOOKUP(C132,Metric_Dictionary!$A:$I,7,FALSE),"")</x:f>
      </x:c>
    </x:row>
    <x:row r="133" ht="15.75" customHeight="1">
      <x:c r="A133" s="8" t="n">
        <x:f>Dashboard_Values!A134</x:f>
        <x:v>0</x:v>
      </x:c>
      <x:c r="B133" s="6" t="str">
        <x:f>IFERROR(VLOOKUP(C133,Metric_Dictionary!$A:$I,2,FALSE),"")</x:f>
      </x:c>
      <x:c r="C133" s="6" t="n">
        <x:f>Dashboard_Values!B134</x:f>
        <x:v>0</x:v>
      </x:c>
      <x:c r="D133" s="6" t="str">
        <x:f>IFERROR(VLOOKUP(C133,Metric_Dictionary!$A:$I,3,FALSE),"")</x:f>
      </x:c>
      <x:c r="E133" s="6" t="n">
        <x:f>Dashboard_Values!C134</x:f>
        <x:v>0</x:v>
      </x:c>
      <x:c r="F133" s="6" t="str">
        <x:f>IFERROR(VLOOKUP(C133,Metric_Dictionary!$A:$I,8,FALSE),"")</x:f>
      </x:c>
      <x:c r="G133" s="6" t="str">
        <x:f>IFERROR(VLOOKUP(C133,Metric_Dictionary!$A:$I,4,FALSE),"")</x:f>
      </x:c>
      <x:c r="H133" s="6" t="str">
        <x:f>IFERROR(VLOOKUP(C133,Metric_Dictionary!$A:$I,9,FALSE),"")</x:f>
      </x:c>
      <x:c r="I133" s="6" t="str">
        <x:f>IFERROR(VLOOKUP(C133,Metric_Dictionary!$A:$I,5,FALSE),"")</x:f>
      </x:c>
      <x:c r="J133" s="6" t="str">
        <x:f>IFERROR(VLOOKUP(C133,Metric_Dictionary!$A:$I,6,FALSE),"")</x:f>
      </x:c>
      <x:c r="K133" s="6" t="str">
        <x:f>IFERROR(VLOOKUP(C133,Metric_Dictionary!$A:$I,7,FALSE),"")</x:f>
      </x:c>
    </x:row>
    <x:row r="134" ht="15.75" customHeight="1">
      <x:c r="A134" s="8" t="n">
        <x:f>Dashboard_Values!A135</x:f>
        <x:v>0</x:v>
      </x:c>
      <x:c r="B134" s="6" t="str">
        <x:f>IFERROR(VLOOKUP(C134,Metric_Dictionary!$A:$I,2,FALSE),"")</x:f>
      </x:c>
      <x:c r="C134" s="6" t="n">
        <x:f>Dashboard_Values!B135</x:f>
        <x:v>0</x:v>
      </x:c>
      <x:c r="D134" s="6" t="str">
        <x:f>IFERROR(VLOOKUP(C134,Metric_Dictionary!$A:$I,3,FALSE),"")</x:f>
      </x:c>
      <x:c r="E134" s="6" t="n">
        <x:f>Dashboard_Values!C135</x:f>
        <x:v>0</x:v>
      </x:c>
      <x:c r="F134" s="6" t="str">
        <x:f>IFERROR(VLOOKUP(C134,Metric_Dictionary!$A:$I,8,FALSE),"")</x:f>
      </x:c>
      <x:c r="G134" s="6" t="str">
        <x:f>IFERROR(VLOOKUP(C134,Metric_Dictionary!$A:$I,4,FALSE),"")</x:f>
      </x:c>
      <x:c r="H134" s="6" t="str">
        <x:f>IFERROR(VLOOKUP(C134,Metric_Dictionary!$A:$I,9,FALSE),"")</x:f>
      </x:c>
      <x:c r="I134" s="6" t="str">
        <x:f>IFERROR(VLOOKUP(C134,Metric_Dictionary!$A:$I,5,FALSE),"")</x:f>
      </x:c>
      <x:c r="J134" s="6" t="str">
        <x:f>IFERROR(VLOOKUP(C134,Metric_Dictionary!$A:$I,6,FALSE),"")</x:f>
      </x:c>
      <x:c r="K134" s="6" t="str">
        <x:f>IFERROR(VLOOKUP(C134,Metric_Dictionary!$A:$I,7,FALSE),"")</x:f>
      </x:c>
    </x:row>
    <x:row r="135" ht="15.75" customHeight="1">
      <x:c r="A135" s="8" t="n">
        <x:f>Dashboard_Values!A136</x:f>
        <x:v>0</x:v>
      </x:c>
      <x:c r="B135" s="6" t="str">
        <x:f>IFERROR(VLOOKUP(C135,Metric_Dictionary!$A:$I,2,FALSE),"")</x:f>
      </x:c>
      <x:c r="C135" s="6" t="n">
        <x:f>Dashboard_Values!B136</x:f>
        <x:v>0</x:v>
      </x:c>
      <x:c r="D135" s="6" t="str">
        <x:f>IFERROR(VLOOKUP(C135,Metric_Dictionary!$A:$I,3,FALSE),"")</x:f>
      </x:c>
      <x:c r="E135" s="6" t="n">
        <x:f>Dashboard_Values!C136</x:f>
        <x:v>0</x:v>
      </x:c>
      <x:c r="F135" s="6" t="str">
        <x:f>IFERROR(VLOOKUP(C135,Metric_Dictionary!$A:$I,8,FALSE),"")</x:f>
      </x:c>
      <x:c r="G135" s="6" t="str">
        <x:f>IFERROR(VLOOKUP(C135,Metric_Dictionary!$A:$I,4,FALSE),"")</x:f>
      </x:c>
      <x:c r="H135" s="6" t="str">
        <x:f>IFERROR(VLOOKUP(C135,Metric_Dictionary!$A:$I,9,FALSE),"")</x:f>
      </x:c>
      <x:c r="I135" s="6" t="str">
        <x:f>IFERROR(VLOOKUP(C135,Metric_Dictionary!$A:$I,5,FALSE),"")</x:f>
      </x:c>
      <x:c r="J135" s="6" t="str">
        <x:f>IFERROR(VLOOKUP(C135,Metric_Dictionary!$A:$I,6,FALSE),"")</x:f>
      </x:c>
      <x:c r="K135" s="6" t="str">
        <x:f>IFERROR(VLOOKUP(C135,Metric_Dictionary!$A:$I,7,FALSE),"")</x:f>
      </x:c>
    </x:row>
    <x:row r="136" ht="15.75" customHeight="1">
      <x:c r="A136" s="8" t="n">
        <x:f>Dashboard_Values!A137</x:f>
        <x:v>0</x:v>
      </x:c>
      <x:c r="B136" s="6" t="str">
        <x:f>IFERROR(VLOOKUP(C136,Metric_Dictionary!$A:$I,2,FALSE),"")</x:f>
      </x:c>
      <x:c r="C136" s="6" t="n">
        <x:f>Dashboard_Values!B137</x:f>
        <x:v>0</x:v>
      </x:c>
      <x:c r="D136" s="6" t="str">
        <x:f>IFERROR(VLOOKUP(C136,Metric_Dictionary!$A:$I,3,FALSE),"")</x:f>
      </x:c>
      <x:c r="E136" s="6" t="n">
        <x:f>Dashboard_Values!C137</x:f>
        <x:v>0</x:v>
      </x:c>
      <x:c r="F136" s="6" t="str">
        <x:f>IFERROR(VLOOKUP(C136,Metric_Dictionary!$A:$I,8,FALSE),"")</x:f>
      </x:c>
      <x:c r="G136" s="6" t="str">
        <x:f>IFERROR(VLOOKUP(C136,Metric_Dictionary!$A:$I,4,FALSE),"")</x:f>
      </x:c>
      <x:c r="H136" s="6" t="str">
        <x:f>IFERROR(VLOOKUP(C136,Metric_Dictionary!$A:$I,9,FALSE),"")</x:f>
      </x:c>
      <x:c r="I136" s="6" t="str">
        <x:f>IFERROR(VLOOKUP(C136,Metric_Dictionary!$A:$I,5,FALSE),"")</x:f>
      </x:c>
      <x:c r="J136" s="6" t="str">
        <x:f>IFERROR(VLOOKUP(C136,Metric_Dictionary!$A:$I,6,FALSE),"")</x:f>
      </x:c>
      <x:c r="K136" s="6" t="str">
        <x:f>IFERROR(VLOOKUP(C136,Metric_Dictionary!$A:$I,7,FALSE),"")</x:f>
      </x:c>
    </x:row>
    <x:row r="137" ht="15.75" customHeight="1">
      <x:c r="A137" s="8" t="n">
        <x:f>Dashboard_Values!A138</x:f>
        <x:v>0</x:v>
      </x:c>
      <x:c r="B137" s="6" t="str">
        <x:f>IFERROR(VLOOKUP(C137,Metric_Dictionary!$A:$I,2,FALSE),"")</x:f>
      </x:c>
      <x:c r="C137" s="6" t="n">
        <x:f>Dashboard_Values!B138</x:f>
        <x:v>0</x:v>
      </x:c>
      <x:c r="D137" s="6" t="str">
        <x:f>IFERROR(VLOOKUP(C137,Metric_Dictionary!$A:$I,3,FALSE),"")</x:f>
      </x:c>
      <x:c r="E137" s="6" t="n">
        <x:f>Dashboard_Values!C138</x:f>
        <x:v>0</x:v>
      </x:c>
      <x:c r="F137" s="6" t="str">
        <x:f>IFERROR(VLOOKUP(C137,Metric_Dictionary!$A:$I,8,FALSE),"")</x:f>
      </x:c>
      <x:c r="G137" s="6" t="str">
        <x:f>IFERROR(VLOOKUP(C137,Metric_Dictionary!$A:$I,4,FALSE),"")</x:f>
      </x:c>
      <x:c r="H137" s="6" t="str">
        <x:f>IFERROR(VLOOKUP(C137,Metric_Dictionary!$A:$I,9,FALSE),"")</x:f>
      </x:c>
      <x:c r="I137" s="6" t="str">
        <x:f>IFERROR(VLOOKUP(C137,Metric_Dictionary!$A:$I,5,FALSE),"")</x:f>
      </x:c>
      <x:c r="J137" s="6" t="str">
        <x:f>IFERROR(VLOOKUP(C137,Metric_Dictionary!$A:$I,6,FALSE),"")</x:f>
      </x:c>
      <x:c r="K137" s="6" t="str">
        <x:f>IFERROR(VLOOKUP(C137,Metric_Dictionary!$A:$I,7,FALSE),"")</x:f>
      </x:c>
    </x:row>
    <x:row r="138" ht="15.75" customHeight="1">
      <x:c r="A138" s="8" t="n">
        <x:f>Dashboard_Values!A139</x:f>
        <x:v>0</x:v>
      </x:c>
      <x:c r="B138" s="6" t="str">
        <x:f>IFERROR(VLOOKUP(C138,Metric_Dictionary!$A:$I,2,FALSE),"")</x:f>
      </x:c>
      <x:c r="C138" s="6" t="n">
        <x:f>Dashboard_Values!B139</x:f>
        <x:v>0</x:v>
      </x:c>
      <x:c r="D138" s="6" t="str">
        <x:f>IFERROR(VLOOKUP(C138,Metric_Dictionary!$A:$I,3,FALSE),"")</x:f>
      </x:c>
      <x:c r="E138" s="6" t="n">
        <x:f>Dashboard_Values!C139</x:f>
        <x:v>0</x:v>
      </x:c>
      <x:c r="F138" s="6" t="str">
        <x:f>IFERROR(VLOOKUP(C138,Metric_Dictionary!$A:$I,8,FALSE),"")</x:f>
      </x:c>
      <x:c r="G138" s="6" t="str">
        <x:f>IFERROR(VLOOKUP(C138,Metric_Dictionary!$A:$I,4,FALSE),"")</x:f>
      </x:c>
      <x:c r="H138" s="6" t="str">
        <x:f>IFERROR(VLOOKUP(C138,Metric_Dictionary!$A:$I,9,FALSE),"")</x:f>
      </x:c>
      <x:c r="I138" s="6" t="str">
        <x:f>IFERROR(VLOOKUP(C138,Metric_Dictionary!$A:$I,5,FALSE),"")</x:f>
      </x:c>
      <x:c r="J138" s="6" t="str">
        <x:f>IFERROR(VLOOKUP(C138,Metric_Dictionary!$A:$I,6,FALSE),"")</x:f>
      </x:c>
      <x:c r="K138" s="6" t="str">
        <x:f>IFERROR(VLOOKUP(C138,Metric_Dictionary!$A:$I,7,FALSE),"")</x:f>
      </x:c>
    </x:row>
    <x:row r="139" ht="15.75" customHeight="1">
      <x:c r="A139" s="8" t="n">
        <x:f>Dashboard_Values!A140</x:f>
        <x:v>0</x:v>
      </x:c>
      <x:c r="B139" s="6" t="str">
        <x:f>IFERROR(VLOOKUP(C139,Metric_Dictionary!$A:$I,2,FALSE),"")</x:f>
      </x:c>
      <x:c r="C139" s="6" t="n">
        <x:f>Dashboard_Values!B140</x:f>
        <x:v>0</x:v>
      </x:c>
      <x:c r="D139" s="6" t="str">
        <x:f>IFERROR(VLOOKUP(C139,Metric_Dictionary!$A:$I,3,FALSE),"")</x:f>
      </x:c>
      <x:c r="E139" s="6" t="n">
        <x:f>Dashboard_Values!C140</x:f>
        <x:v>0</x:v>
      </x:c>
      <x:c r="F139" s="6" t="str">
        <x:f>IFERROR(VLOOKUP(C139,Metric_Dictionary!$A:$I,8,FALSE),"")</x:f>
      </x:c>
      <x:c r="G139" s="6" t="str">
        <x:f>IFERROR(VLOOKUP(C139,Metric_Dictionary!$A:$I,4,FALSE),"")</x:f>
      </x:c>
      <x:c r="H139" s="6" t="str">
        <x:f>IFERROR(VLOOKUP(C139,Metric_Dictionary!$A:$I,9,FALSE),"")</x:f>
      </x:c>
      <x:c r="I139" s="6" t="str">
        <x:f>IFERROR(VLOOKUP(C139,Metric_Dictionary!$A:$I,5,FALSE),"")</x:f>
      </x:c>
      <x:c r="J139" s="6" t="str">
        <x:f>IFERROR(VLOOKUP(C139,Metric_Dictionary!$A:$I,6,FALSE),"")</x:f>
      </x:c>
      <x:c r="K139" s="6" t="str">
        <x:f>IFERROR(VLOOKUP(C139,Metric_Dictionary!$A:$I,7,FALSE),"")</x:f>
      </x:c>
    </x:row>
    <x:row r="140" ht="15.75" customHeight="1">
      <x:c r="A140" s="8" t="n">
        <x:f>Dashboard_Values!A141</x:f>
        <x:v>0</x:v>
      </x:c>
      <x:c r="B140" s="6" t="str">
        <x:f>IFERROR(VLOOKUP(C140,Metric_Dictionary!$A:$I,2,FALSE),"")</x:f>
      </x:c>
      <x:c r="C140" s="6" t="n">
        <x:f>Dashboard_Values!B141</x:f>
        <x:v>0</x:v>
      </x:c>
      <x:c r="D140" s="6" t="str">
        <x:f>IFERROR(VLOOKUP(C140,Metric_Dictionary!$A:$I,3,FALSE),"")</x:f>
      </x:c>
      <x:c r="E140" s="6" t="n">
        <x:f>Dashboard_Values!C141</x:f>
        <x:v>0</x:v>
      </x:c>
      <x:c r="F140" s="6" t="str">
        <x:f>IFERROR(VLOOKUP(C140,Metric_Dictionary!$A:$I,8,FALSE),"")</x:f>
      </x:c>
      <x:c r="G140" s="6" t="str">
        <x:f>IFERROR(VLOOKUP(C140,Metric_Dictionary!$A:$I,4,FALSE),"")</x:f>
      </x:c>
      <x:c r="H140" s="6" t="str">
        <x:f>IFERROR(VLOOKUP(C140,Metric_Dictionary!$A:$I,9,FALSE),"")</x:f>
      </x:c>
      <x:c r="I140" s="6" t="str">
        <x:f>IFERROR(VLOOKUP(C140,Metric_Dictionary!$A:$I,5,FALSE),"")</x:f>
      </x:c>
      <x:c r="J140" s="6" t="str">
        <x:f>IFERROR(VLOOKUP(C140,Metric_Dictionary!$A:$I,6,FALSE),"")</x:f>
      </x:c>
      <x:c r="K140" s="6" t="str">
        <x:f>IFERROR(VLOOKUP(C140,Metric_Dictionary!$A:$I,7,FALSE),"")</x:f>
      </x:c>
    </x:row>
    <x:row r="141" ht="15.75" customHeight="1">
      <x:c r="A141" s="8" t="n">
        <x:f>Dashboard_Values!A142</x:f>
        <x:v>0</x:v>
      </x:c>
      <x:c r="B141" s="6" t="str">
        <x:f>IFERROR(VLOOKUP(C141,Metric_Dictionary!$A:$I,2,FALSE),"")</x:f>
      </x:c>
      <x:c r="C141" s="6" t="n">
        <x:f>Dashboard_Values!B142</x:f>
        <x:v>0</x:v>
      </x:c>
      <x:c r="D141" s="6" t="str">
        <x:f>IFERROR(VLOOKUP(C141,Metric_Dictionary!$A:$I,3,FALSE),"")</x:f>
      </x:c>
      <x:c r="E141" s="6" t="n">
        <x:f>Dashboard_Values!C142</x:f>
        <x:v>0</x:v>
      </x:c>
      <x:c r="F141" s="6" t="str">
        <x:f>IFERROR(VLOOKUP(C141,Metric_Dictionary!$A:$I,8,FALSE),"")</x:f>
      </x:c>
      <x:c r="G141" s="6" t="str">
        <x:f>IFERROR(VLOOKUP(C141,Metric_Dictionary!$A:$I,4,FALSE),"")</x:f>
      </x:c>
      <x:c r="H141" s="6" t="str">
        <x:f>IFERROR(VLOOKUP(C141,Metric_Dictionary!$A:$I,9,FALSE),"")</x:f>
      </x:c>
      <x:c r="I141" s="6" t="str">
        <x:f>IFERROR(VLOOKUP(C141,Metric_Dictionary!$A:$I,5,FALSE),"")</x:f>
      </x:c>
      <x:c r="J141" s="6" t="str">
        <x:f>IFERROR(VLOOKUP(C141,Metric_Dictionary!$A:$I,6,FALSE),"")</x:f>
      </x:c>
      <x:c r="K141" s="6" t="str">
        <x:f>IFERROR(VLOOKUP(C141,Metric_Dictionary!$A:$I,7,FALSE),"")</x:f>
      </x:c>
    </x:row>
    <x:row r="142" ht="15.75" customHeight="1">
      <x:c r="A142" s="8" t="n">
        <x:f>Dashboard_Values!A143</x:f>
        <x:v>0</x:v>
      </x:c>
      <x:c r="B142" s="6" t="str">
        <x:f>IFERROR(VLOOKUP(C142,Metric_Dictionary!$A:$I,2,FALSE),"")</x:f>
      </x:c>
      <x:c r="C142" s="6" t="n">
        <x:f>Dashboard_Values!B143</x:f>
        <x:v>0</x:v>
      </x:c>
      <x:c r="D142" s="6" t="str">
        <x:f>IFERROR(VLOOKUP(C142,Metric_Dictionary!$A:$I,3,FALSE),"")</x:f>
      </x:c>
      <x:c r="E142" s="6" t="n">
        <x:f>Dashboard_Values!C143</x:f>
        <x:v>0</x:v>
      </x:c>
      <x:c r="F142" s="6" t="str">
        <x:f>IFERROR(VLOOKUP(C142,Metric_Dictionary!$A:$I,8,FALSE),"")</x:f>
      </x:c>
      <x:c r="G142" s="6" t="str">
        <x:f>IFERROR(VLOOKUP(C142,Metric_Dictionary!$A:$I,4,FALSE),"")</x:f>
      </x:c>
      <x:c r="H142" s="6" t="str">
        <x:f>IFERROR(VLOOKUP(C142,Metric_Dictionary!$A:$I,9,FALSE),"")</x:f>
      </x:c>
      <x:c r="I142" s="6" t="str">
        <x:f>IFERROR(VLOOKUP(C142,Metric_Dictionary!$A:$I,5,FALSE),"")</x:f>
      </x:c>
      <x:c r="J142" s="6" t="str">
        <x:f>IFERROR(VLOOKUP(C142,Metric_Dictionary!$A:$I,6,FALSE),"")</x:f>
      </x:c>
      <x:c r="K142" s="6" t="str">
        <x:f>IFERROR(VLOOKUP(C142,Metric_Dictionary!$A:$I,7,FALSE),"")</x:f>
      </x:c>
    </x:row>
    <x:row r="143" ht="15.75" customHeight="1">
      <x:c r="A143" s="8" t="n">
        <x:f>Dashboard_Values!A144</x:f>
        <x:v>0</x:v>
      </x:c>
      <x:c r="B143" s="6" t="str">
        <x:f>IFERROR(VLOOKUP(C143,Metric_Dictionary!$A:$I,2,FALSE),"")</x:f>
      </x:c>
      <x:c r="C143" s="6" t="n">
        <x:f>Dashboard_Values!B144</x:f>
        <x:v>0</x:v>
      </x:c>
      <x:c r="D143" s="6" t="str">
        <x:f>IFERROR(VLOOKUP(C143,Metric_Dictionary!$A:$I,3,FALSE),"")</x:f>
      </x:c>
      <x:c r="E143" s="6" t="n">
        <x:f>Dashboard_Values!C144</x:f>
        <x:v>0</x:v>
      </x:c>
      <x:c r="F143" s="6" t="str">
        <x:f>IFERROR(VLOOKUP(C143,Metric_Dictionary!$A:$I,8,FALSE),"")</x:f>
      </x:c>
      <x:c r="G143" s="6" t="str">
        <x:f>IFERROR(VLOOKUP(C143,Metric_Dictionary!$A:$I,4,FALSE),"")</x:f>
      </x:c>
      <x:c r="H143" s="6" t="str">
        <x:f>IFERROR(VLOOKUP(C143,Metric_Dictionary!$A:$I,9,FALSE),"")</x:f>
      </x:c>
      <x:c r="I143" s="6" t="str">
        <x:f>IFERROR(VLOOKUP(C143,Metric_Dictionary!$A:$I,5,FALSE),"")</x:f>
      </x:c>
      <x:c r="J143" s="6" t="str">
        <x:f>IFERROR(VLOOKUP(C143,Metric_Dictionary!$A:$I,6,FALSE),"")</x:f>
      </x:c>
      <x:c r="K143" s="6" t="str">
        <x:f>IFERROR(VLOOKUP(C143,Metric_Dictionary!$A:$I,7,FALSE),"")</x:f>
      </x:c>
    </x:row>
    <x:row r="144" ht="15.75" customHeight="1">
      <x:c r="A144" s="8" t="n">
        <x:f>Dashboard_Values!A145</x:f>
        <x:v>0</x:v>
      </x:c>
      <x:c r="B144" s="6" t="str">
        <x:f>IFERROR(VLOOKUP(C144,Metric_Dictionary!$A:$I,2,FALSE),"")</x:f>
      </x:c>
      <x:c r="C144" s="6" t="n">
        <x:f>Dashboard_Values!B145</x:f>
        <x:v>0</x:v>
      </x:c>
      <x:c r="D144" s="6" t="str">
        <x:f>IFERROR(VLOOKUP(C144,Metric_Dictionary!$A:$I,3,FALSE),"")</x:f>
      </x:c>
      <x:c r="E144" s="6" t="n">
        <x:f>Dashboard_Values!C145</x:f>
        <x:v>0</x:v>
      </x:c>
      <x:c r="F144" s="6" t="str">
        <x:f>IFERROR(VLOOKUP(C144,Metric_Dictionary!$A:$I,8,FALSE),"")</x:f>
      </x:c>
      <x:c r="G144" s="6" t="str">
        <x:f>IFERROR(VLOOKUP(C144,Metric_Dictionary!$A:$I,4,FALSE),"")</x:f>
      </x:c>
      <x:c r="H144" s="6" t="str">
        <x:f>IFERROR(VLOOKUP(C144,Metric_Dictionary!$A:$I,9,FALSE),"")</x:f>
      </x:c>
      <x:c r="I144" s="6" t="str">
        <x:f>IFERROR(VLOOKUP(C144,Metric_Dictionary!$A:$I,5,FALSE),"")</x:f>
      </x:c>
      <x:c r="J144" s="6" t="str">
        <x:f>IFERROR(VLOOKUP(C144,Metric_Dictionary!$A:$I,6,FALSE),"")</x:f>
      </x:c>
      <x:c r="K144" s="6" t="str">
        <x:f>IFERROR(VLOOKUP(C144,Metric_Dictionary!$A:$I,7,FALSE),"")</x:f>
      </x:c>
    </x:row>
    <x:row r="145" ht="15.75" customHeight="1">
      <x:c r="A145" s="8" t="n">
        <x:f>Dashboard_Values!A146</x:f>
        <x:v>0</x:v>
      </x:c>
      <x:c r="B145" s="6" t="str">
        <x:f>IFERROR(VLOOKUP(C145,Metric_Dictionary!$A:$I,2,FALSE),"")</x:f>
      </x:c>
      <x:c r="C145" s="6" t="n">
        <x:f>Dashboard_Values!B146</x:f>
        <x:v>0</x:v>
      </x:c>
      <x:c r="D145" s="6" t="str">
        <x:f>IFERROR(VLOOKUP(C145,Metric_Dictionary!$A:$I,3,FALSE),"")</x:f>
      </x:c>
      <x:c r="E145" s="6" t="n">
        <x:f>Dashboard_Values!C146</x:f>
        <x:v>0</x:v>
      </x:c>
      <x:c r="F145" s="6" t="str">
        <x:f>IFERROR(VLOOKUP(C145,Metric_Dictionary!$A:$I,8,FALSE),"")</x:f>
      </x:c>
      <x:c r="G145" s="6" t="str">
        <x:f>IFERROR(VLOOKUP(C145,Metric_Dictionary!$A:$I,4,FALSE),"")</x:f>
      </x:c>
      <x:c r="H145" s="6" t="str">
        <x:f>IFERROR(VLOOKUP(C145,Metric_Dictionary!$A:$I,9,FALSE),"")</x:f>
      </x:c>
      <x:c r="I145" s="6" t="str">
        <x:f>IFERROR(VLOOKUP(C145,Metric_Dictionary!$A:$I,5,FALSE),"")</x:f>
      </x:c>
      <x:c r="J145" s="6" t="str">
        <x:f>IFERROR(VLOOKUP(C145,Metric_Dictionary!$A:$I,6,FALSE),"")</x:f>
      </x:c>
      <x:c r="K145" s="6" t="str">
        <x:f>IFERROR(VLOOKUP(C145,Metric_Dictionary!$A:$I,7,FALSE),"")</x:f>
      </x:c>
    </x:row>
    <x:row r="146" ht="15.75" customHeight="1">
      <x:c r="A146" s="8" t="n">
        <x:f>Dashboard_Values!A147</x:f>
        <x:v>0</x:v>
      </x:c>
      <x:c r="B146" s="6" t="str">
        <x:f>IFERROR(VLOOKUP(C146,Metric_Dictionary!$A:$I,2,FALSE),"")</x:f>
      </x:c>
      <x:c r="C146" s="6" t="n">
        <x:f>Dashboard_Values!B147</x:f>
        <x:v>0</x:v>
      </x:c>
      <x:c r="D146" s="6" t="str">
        <x:f>IFERROR(VLOOKUP(C146,Metric_Dictionary!$A:$I,3,FALSE),"")</x:f>
      </x:c>
      <x:c r="E146" s="6" t="n">
        <x:f>Dashboard_Values!C147</x:f>
        <x:v>0</x:v>
      </x:c>
      <x:c r="F146" s="6" t="str">
        <x:f>IFERROR(VLOOKUP(C146,Metric_Dictionary!$A:$I,8,FALSE),"")</x:f>
      </x:c>
      <x:c r="G146" s="6" t="str">
        <x:f>IFERROR(VLOOKUP(C146,Metric_Dictionary!$A:$I,4,FALSE),"")</x:f>
      </x:c>
      <x:c r="H146" s="6" t="str">
        <x:f>IFERROR(VLOOKUP(C146,Metric_Dictionary!$A:$I,9,FALSE),"")</x:f>
      </x:c>
      <x:c r="I146" s="6" t="str">
        <x:f>IFERROR(VLOOKUP(C146,Metric_Dictionary!$A:$I,5,FALSE),"")</x:f>
      </x:c>
      <x:c r="J146" s="6" t="str">
        <x:f>IFERROR(VLOOKUP(C146,Metric_Dictionary!$A:$I,6,FALSE),"")</x:f>
      </x:c>
      <x:c r="K146" s="6" t="str">
        <x:f>IFERROR(VLOOKUP(C146,Metric_Dictionary!$A:$I,7,FALSE),"")</x:f>
      </x:c>
    </x:row>
    <x:row r="147" ht="15.75" customHeight="1">
      <x:c r="A147" s="8" t="n">
        <x:f>Dashboard_Values!A148</x:f>
        <x:v>0</x:v>
      </x:c>
      <x:c r="B147" s="6" t="str">
        <x:f>IFERROR(VLOOKUP(C147,Metric_Dictionary!$A:$I,2,FALSE),"")</x:f>
      </x:c>
      <x:c r="C147" s="6" t="n">
        <x:f>Dashboard_Values!B148</x:f>
        <x:v>0</x:v>
      </x:c>
      <x:c r="D147" s="6" t="str">
        <x:f>IFERROR(VLOOKUP(C147,Metric_Dictionary!$A:$I,3,FALSE),"")</x:f>
      </x:c>
      <x:c r="E147" s="6" t="n">
        <x:f>Dashboard_Values!C148</x:f>
        <x:v>0</x:v>
      </x:c>
      <x:c r="F147" s="6" t="str">
        <x:f>IFERROR(VLOOKUP(C147,Metric_Dictionary!$A:$I,8,FALSE),"")</x:f>
      </x:c>
      <x:c r="G147" s="6" t="str">
        <x:f>IFERROR(VLOOKUP(C147,Metric_Dictionary!$A:$I,4,FALSE),"")</x:f>
      </x:c>
      <x:c r="H147" s="6" t="str">
        <x:f>IFERROR(VLOOKUP(C147,Metric_Dictionary!$A:$I,9,FALSE),"")</x:f>
      </x:c>
      <x:c r="I147" s="6" t="str">
        <x:f>IFERROR(VLOOKUP(C147,Metric_Dictionary!$A:$I,5,FALSE),"")</x:f>
      </x:c>
      <x:c r="J147" s="6" t="str">
        <x:f>IFERROR(VLOOKUP(C147,Metric_Dictionary!$A:$I,6,FALSE),"")</x:f>
      </x:c>
      <x:c r="K147" s="6" t="str">
        <x:f>IFERROR(VLOOKUP(C147,Metric_Dictionary!$A:$I,7,FALSE),"")</x:f>
      </x:c>
    </x:row>
    <x:row r="148" ht="15.75" customHeight="1">
      <x:c r="A148" s="8" t="n">
        <x:f>Dashboard_Values!A149</x:f>
        <x:v>0</x:v>
      </x:c>
      <x:c r="B148" s="6" t="str">
        <x:f>IFERROR(VLOOKUP(C148,Metric_Dictionary!$A:$I,2,FALSE),"")</x:f>
      </x:c>
      <x:c r="C148" s="6" t="n">
        <x:f>Dashboard_Values!B149</x:f>
        <x:v>0</x:v>
      </x:c>
      <x:c r="D148" s="6" t="str">
        <x:f>IFERROR(VLOOKUP(C148,Metric_Dictionary!$A:$I,3,FALSE),"")</x:f>
      </x:c>
      <x:c r="E148" s="6" t="n">
        <x:f>Dashboard_Values!C149</x:f>
        <x:v>0</x:v>
      </x:c>
      <x:c r="F148" s="6" t="str">
        <x:f>IFERROR(VLOOKUP(C148,Metric_Dictionary!$A:$I,8,FALSE),"")</x:f>
      </x:c>
      <x:c r="G148" s="6" t="str">
        <x:f>IFERROR(VLOOKUP(C148,Metric_Dictionary!$A:$I,4,FALSE),"")</x:f>
      </x:c>
      <x:c r="H148" s="6" t="str">
        <x:f>IFERROR(VLOOKUP(C148,Metric_Dictionary!$A:$I,9,FALSE),"")</x:f>
      </x:c>
      <x:c r="I148" s="6" t="str">
        <x:f>IFERROR(VLOOKUP(C148,Metric_Dictionary!$A:$I,5,FALSE),"")</x:f>
      </x:c>
      <x:c r="J148" s="6" t="str">
        <x:f>IFERROR(VLOOKUP(C148,Metric_Dictionary!$A:$I,6,FALSE),"")</x:f>
      </x:c>
      <x:c r="K148" s="6" t="str">
        <x:f>IFERROR(VLOOKUP(C148,Metric_Dictionary!$A:$I,7,FALSE),"")</x:f>
      </x:c>
    </x:row>
    <x:row r="149" ht="15.75" customHeight="1">
      <x:c r="A149" s="8" t="n">
        <x:f>Dashboard_Values!A150</x:f>
        <x:v>0</x:v>
      </x:c>
      <x:c r="B149" s="6" t="str">
        <x:f>IFERROR(VLOOKUP(C149,Metric_Dictionary!$A:$I,2,FALSE),"")</x:f>
      </x:c>
      <x:c r="C149" s="6" t="n">
        <x:f>Dashboard_Values!B150</x:f>
        <x:v>0</x:v>
      </x:c>
      <x:c r="D149" s="6" t="str">
        <x:f>IFERROR(VLOOKUP(C149,Metric_Dictionary!$A:$I,3,FALSE),"")</x:f>
      </x:c>
      <x:c r="E149" s="6" t="n">
        <x:f>Dashboard_Values!C150</x:f>
        <x:v>0</x:v>
      </x:c>
      <x:c r="F149" s="6" t="str">
        <x:f>IFERROR(VLOOKUP(C149,Metric_Dictionary!$A:$I,8,FALSE),"")</x:f>
      </x:c>
      <x:c r="G149" s="6" t="str">
        <x:f>IFERROR(VLOOKUP(C149,Metric_Dictionary!$A:$I,4,FALSE),"")</x:f>
      </x:c>
      <x:c r="H149" s="6" t="str">
        <x:f>IFERROR(VLOOKUP(C149,Metric_Dictionary!$A:$I,9,FALSE),"")</x:f>
      </x:c>
      <x:c r="I149" s="6" t="str">
        <x:f>IFERROR(VLOOKUP(C149,Metric_Dictionary!$A:$I,5,FALSE),"")</x:f>
      </x:c>
      <x:c r="J149" s="6" t="str">
        <x:f>IFERROR(VLOOKUP(C149,Metric_Dictionary!$A:$I,6,FALSE),"")</x:f>
      </x:c>
      <x:c r="K149" s="6" t="str">
        <x:f>IFERROR(VLOOKUP(C149,Metric_Dictionary!$A:$I,7,FALSE),"")</x:f>
      </x:c>
    </x:row>
    <x:row r="150" ht="15.75" customHeight="1">
      <x:c r="A150" s="8" t="n">
        <x:f>Dashboard_Values!A151</x:f>
        <x:v>0</x:v>
      </x:c>
      <x:c r="B150" s="6" t="str">
        <x:f>IFERROR(VLOOKUP(C150,Metric_Dictionary!$A:$I,2,FALSE),"")</x:f>
      </x:c>
      <x:c r="C150" s="6" t="n">
        <x:f>Dashboard_Values!B151</x:f>
        <x:v>0</x:v>
      </x:c>
      <x:c r="D150" s="6" t="str">
        <x:f>IFERROR(VLOOKUP(C150,Metric_Dictionary!$A:$I,3,FALSE),"")</x:f>
      </x:c>
      <x:c r="E150" s="6" t="n">
        <x:f>Dashboard_Values!C151</x:f>
        <x:v>0</x:v>
      </x:c>
      <x:c r="F150" s="6" t="str">
        <x:f>IFERROR(VLOOKUP(C150,Metric_Dictionary!$A:$I,8,FALSE),"")</x:f>
      </x:c>
      <x:c r="G150" s="6" t="str">
        <x:f>IFERROR(VLOOKUP(C150,Metric_Dictionary!$A:$I,4,FALSE),"")</x:f>
      </x:c>
      <x:c r="H150" s="6" t="str">
        <x:f>IFERROR(VLOOKUP(C150,Metric_Dictionary!$A:$I,9,FALSE),"")</x:f>
      </x:c>
      <x:c r="I150" s="6" t="str">
        <x:f>IFERROR(VLOOKUP(C150,Metric_Dictionary!$A:$I,5,FALSE),"")</x:f>
      </x:c>
      <x:c r="J150" s="6" t="str">
        <x:f>IFERROR(VLOOKUP(C150,Metric_Dictionary!$A:$I,6,FALSE),"")</x:f>
      </x:c>
      <x:c r="K150" s="6" t="str">
        <x:f>IFERROR(VLOOKUP(C150,Metric_Dictionary!$A:$I,7,FALSE),"")</x:f>
      </x:c>
    </x:row>
    <x:row r="151" ht="15.75" customHeight="1">
      <x:c r="A151" s="8" t="n">
        <x:f>Dashboard_Values!A152</x:f>
        <x:v>0</x:v>
      </x:c>
      <x:c r="B151" s="6" t="str">
        <x:f>IFERROR(VLOOKUP(C151,Metric_Dictionary!$A:$I,2,FALSE),"")</x:f>
      </x:c>
      <x:c r="C151" s="6" t="n">
        <x:f>Dashboard_Values!B152</x:f>
        <x:v>0</x:v>
      </x:c>
      <x:c r="D151" s="6" t="str">
        <x:f>IFERROR(VLOOKUP(C151,Metric_Dictionary!$A:$I,3,FALSE),"")</x:f>
      </x:c>
      <x:c r="E151" s="6" t="n">
        <x:f>Dashboard_Values!C152</x:f>
        <x:v>0</x:v>
      </x:c>
      <x:c r="F151" s="6" t="str">
        <x:f>IFERROR(VLOOKUP(C151,Metric_Dictionary!$A:$I,8,FALSE),"")</x:f>
      </x:c>
      <x:c r="G151" s="6" t="str">
        <x:f>IFERROR(VLOOKUP(C151,Metric_Dictionary!$A:$I,4,FALSE),"")</x:f>
      </x:c>
      <x:c r="H151" s="6" t="str">
        <x:f>IFERROR(VLOOKUP(C151,Metric_Dictionary!$A:$I,9,FALSE),"")</x:f>
      </x:c>
      <x:c r="I151" s="6" t="str">
        <x:f>IFERROR(VLOOKUP(C151,Metric_Dictionary!$A:$I,5,FALSE),"")</x:f>
      </x:c>
      <x:c r="J151" s="6" t="str">
        <x:f>IFERROR(VLOOKUP(C151,Metric_Dictionary!$A:$I,6,FALSE),"")</x:f>
      </x:c>
      <x:c r="K151" s="6" t="str">
        <x:f>IFERROR(VLOOKUP(C151,Metric_Dictionary!$A:$I,7,FALSE),"")</x:f>
      </x:c>
    </x:row>
    <x:row r="152" ht="15.75" customHeight="1">
      <x:c r="A152" s="8" t="n">
        <x:f>Dashboard_Values!A153</x:f>
        <x:v>0</x:v>
      </x:c>
      <x:c r="B152" s="6" t="str">
        <x:f>IFERROR(VLOOKUP(C152,Metric_Dictionary!$A:$I,2,FALSE),"")</x:f>
      </x:c>
      <x:c r="C152" s="6" t="n">
        <x:f>Dashboard_Values!B153</x:f>
        <x:v>0</x:v>
      </x:c>
      <x:c r="D152" s="6" t="str">
        <x:f>IFERROR(VLOOKUP(C152,Metric_Dictionary!$A:$I,3,FALSE),"")</x:f>
      </x:c>
      <x:c r="E152" s="6" t="n">
        <x:f>Dashboard_Values!C153</x:f>
        <x:v>0</x:v>
      </x:c>
      <x:c r="F152" s="6" t="str">
        <x:f>IFERROR(VLOOKUP(C152,Metric_Dictionary!$A:$I,8,FALSE),"")</x:f>
      </x:c>
      <x:c r="G152" s="6" t="str">
        <x:f>IFERROR(VLOOKUP(C152,Metric_Dictionary!$A:$I,4,FALSE),"")</x:f>
      </x:c>
      <x:c r="H152" s="6" t="str">
        <x:f>IFERROR(VLOOKUP(C152,Metric_Dictionary!$A:$I,9,FALSE),"")</x:f>
      </x:c>
      <x:c r="I152" s="6" t="str">
        <x:f>IFERROR(VLOOKUP(C152,Metric_Dictionary!$A:$I,5,FALSE),"")</x:f>
      </x:c>
      <x:c r="J152" s="6" t="str">
        <x:f>IFERROR(VLOOKUP(C152,Metric_Dictionary!$A:$I,6,FALSE),"")</x:f>
      </x:c>
      <x:c r="K152" s="6" t="str">
        <x:f>IFERROR(VLOOKUP(C152,Metric_Dictionary!$A:$I,7,FALSE),"")</x:f>
      </x:c>
    </x:row>
    <x:row r="153" ht="15.75" customHeight="1">
      <x:c r="A153" s="8" t="n">
        <x:f>Dashboard_Values!A154</x:f>
        <x:v>0</x:v>
      </x:c>
      <x:c r="B153" s="6" t="str">
        <x:f>IFERROR(VLOOKUP(C153,Metric_Dictionary!$A:$I,2,FALSE),"")</x:f>
      </x:c>
      <x:c r="C153" s="6" t="n">
        <x:f>Dashboard_Values!B154</x:f>
        <x:v>0</x:v>
      </x:c>
      <x:c r="D153" s="6" t="str">
        <x:f>IFERROR(VLOOKUP(C153,Metric_Dictionary!$A:$I,3,FALSE),"")</x:f>
      </x:c>
      <x:c r="E153" s="6" t="n">
        <x:f>Dashboard_Values!C154</x:f>
        <x:v>0</x:v>
      </x:c>
      <x:c r="F153" s="6" t="str">
        <x:f>IFERROR(VLOOKUP(C153,Metric_Dictionary!$A:$I,8,FALSE),"")</x:f>
      </x:c>
      <x:c r="G153" s="6" t="str">
        <x:f>IFERROR(VLOOKUP(C153,Metric_Dictionary!$A:$I,4,FALSE),"")</x:f>
      </x:c>
      <x:c r="H153" s="6" t="str">
        <x:f>IFERROR(VLOOKUP(C153,Metric_Dictionary!$A:$I,9,FALSE),"")</x:f>
      </x:c>
      <x:c r="I153" s="6" t="str">
        <x:f>IFERROR(VLOOKUP(C153,Metric_Dictionary!$A:$I,5,FALSE),"")</x:f>
      </x:c>
      <x:c r="J153" s="6" t="str">
        <x:f>IFERROR(VLOOKUP(C153,Metric_Dictionary!$A:$I,6,FALSE),"")</x:f>
      </x:c>
      <x:c r="K153" s="6" t="str">
        <x:f>IFERROR(VLOOKUP(C153,Metric_Dictionary!$A:$I,7,FALSE),"")</x:f>
      </x:c>
    </x:row>
    <x:row r="154" ht="15.75" customHeight="1">
      <x:c r="A154" s="8" t="n">
        <x:f>Dashboard_Values!A155</x:f>
        <x:v>0</x:v>
      </x:c>
      <x:c r="B154" s="6" t="str">
        <x:f>IFERROR(VLOOKUP(C154,Metric_Dictionary!$A:$I,2,FALSE),"")</x:f>
      </x:c>
      <x:c r="C154" s="6" t="n">
        <x:f>Dashboard_Values!B155</x:f>
        <x:v>0</x:v>
      </x:c>
      <x:c r="D154" s="6" t="str">
        <x:f>IFERROR(VLOOKUP(C154,Metric_Dictionary!$A:$I,3,FALSE),"")</x:f>
      </x:c>
      <x:c r="E154" s="6" t="n">
        <x:f>Dashboard_Values!C155</x:f>
        <x:v>0</x:v>
      </x:c>
      <x:c r="F154" s="6" t="str">
        <x:f>IFERROR(VLOOKUP(C154,Metric_Dictionary!$A:$I,8,FALSE),"")</x:f>
      </x:c>
      <x:c r="G154" s="6" t="str">
        <x:f>IFERROR(VLOOKUP(C154,Metric_Dictionary!$A:$I,4,FALSE),"")</x:f>
      </x:c>
      <x:c r="H154" s="6" t="str">
        <x:f>IFERROR(VLOOKUP(C154,Metric_Dictionary!$A:$I,9,FALSE),"")</x:f>
      </x:c>
      <x:c r="I154" s="6" t="str">
        <x:f>IFERROR(VLOOKUP(C154,Metric_Dictionary!$A:$I,5,FALSE),"")</x:f>
      </x:c>
      <x:c r="J154" s="6" t="str">
        <x:f>IFERROR(VLOOKUP(C154,Metric_Dictionary!$A:$I,6,FALSE),"")</x:f>
      </x:c>
      <x:c r="K154" s="6" t="str">
        <x:f>IFERROR(VLOOKUP(C154,Metric_Dictionary!$A:$I,7,FALSE),"")</x:f>
      </x:c>
    </x:row>
    <x:row r="155" ht="15.75" customHeight="1">
      <x:c r="A155" s="8" t="n">
        <x:f>Dashboard_Values!A156</x:f>
        <x:v>0</x:v>
      </x:c>
      <x:c r="B155" s="6" t="str">
        <x:f>IFERROR(VLOOKUP(C155,Metric_Dictionary!$A:$I,2,FALSE),"")</x:f>
      </x:c>
      <x:c r="C155" s="6" t="n">
        <x:f>Dashboard_Values!B156</x:f>
        <x:v>0</x:v>
      </x:c>
      <x:c r="D155" s="6" t="str">
        <x:f>IFERROR(VLOOKUP(C155,Metric_Dictionary!$A:$I,3,FALSE),"")</x:f>
      </x:c>
      <x:c r="E155" s="6" t="n">
        <x:f>Dashboard_Values!C156</x:f>
        <x:v>0</x:v>
      </x:c>
      <x:c r="F155" s="6" t="str">
        <x:f>IFERROR(VLOOKUP(C155,Metric_Dictionary!$A:$I,8,FALSE),"")</x:f>
      </x:c>
      <x:c r="G155" s="6" t="str">
        <x:f>IFERROR(VLOOKUP(C155,Metric_Dictionary!$A:$I,4,FALSE),"")</x:f>
      </x:c>
      <x:c r="H155" s="6" t="str">
        <x:f>IFERROR(VLOOKUP(C155,Metric_Dictionary!$A:$I,9,FALSE),"")</x:f>
      </x:c>
      <x:c r="I155" s="6" t="str">
        <x:f>IFERROR(VLOOKUP(C155,Metric_Dictionary!$A:$I,5,FALSE),"")</x:f>
      </x:c>
      <x:c r="J155" s="6" t="str">
        <x:f>IFERROR(VLOOKUP(C155,Metric_Dictionary!$A:$I,6,FALSE),"")</x:f>
      </x:c>
      <x:c r="K155" s="6" t="str">
        <x:f>IFERROR(VLOOKUP(C155,Metric_Dictionary!$A:$I,7,FALSE),"")</x:f>
      </x:c>
    </x:row>
    <x:row r="156" ht="15.75" customHeight="1">
      <x:c r="A156" s="8" t="n">
        <x:f>Dashboard_Values!A157</x:f>
        <x:v>0</x:v>
      </x:c>
      <x:c r="B156" s="6" t="str">
        <x:f>IFERROR(VLOOKUP(C156,Metric_Dictionary!$A:$I,2,FALSE),"")</x:f>
      </x:c>
      <x:c r="C156" s="6" t="n">
        <x:f>Dashboard_Values!B157</x:f>
        <x:v>0</x:v>
      </x:c>
      <x:c r="D156" s="6" t="str">
        <x:f>IFERROR(VLOOKUP(C156,Metric_Dictionary!$A:$I,3,FALSE),"")</x:f>
      </x:c>
      <x:c r="E156" s="6" t="n">
        <x:f>Dashboard_Values!C157</x:f>
        <x:v>0</x:v>
      </x:c>
      <x:c r="F156" s="6" t="str">
        <x:f>IFERROR(VLOOKUP(C156,Metric_Dictionary!$A:$I,8,FALSE),"")</x:f>
      </x:c>
      <x:c r="G156" s="6" t="str">
        <x:f>IFERROR(VLOOKUP(C156,Metric_Dictionary!$A:$I,4,FALSE),"")</x:f>
      </x:c>
      <x:c r="H156" s="6" t="str">
        <x:f>IFERROR(VLOOKUP(C156,Metric_Dictionary!$A:$I,9,FALSE),"")</x:f>
      </x:c>
      <x:c r="I156" s="6" t="str">
        <x:f>IFERROR(VLOOKUP(C156,Metric_Dictionary!$A:$I,5,FALSE),"")</x:f>
      </x:c>
      <x:c r="J156" s="6" t="str">
        <x:f>IFERROR(VLOOKUP(C156,Metric_Dictionary!$A:$I,6,FALSE),"")</x:f>
      </x:c>
      <x:c r="K156" s="6" t="str">
        <x:f>IFERROR(VLOOKUP(C156,Metric_Dictionary!$A:$I,7,FALSE),"")</x:f>
      </x:c>
    </x:row>
    <x:row r="157" ht="15.75" customHeight="1">
      <x:c r="A157" s="8" t="n">
        <x:f>Dashboard_Values!A158</x:f>
        <x:v>0</x:v>
      </x:c>
      <x:c r="B157" s="6" t="str">
        <x:f>IFERROR(VLOOKUP(C157,Metric_Dictionary!$A:$I,2,FALSE),"")</x:f>
      </x:c>
      <x:c r="C157" s="6" t="n">
        <x:f>Dashboard_Values!B158</x:f>
        <x:v>0</x:v>
      </x:c>
      <x:c r="D157" s="6" t="str">
        <x:f>IFERROR(VLOOKUP(C157,Metric_Dictionary!$A:$I,3,FALSE),"")</x:f>
      </x:c>
      <x:c r="E157" s="6" t="n">
        <x:f>Dashboard_Values!C158</x:f>
        <x:v>0</x:v>
      </x:c>
      <x:c r="F157" s="6" t="str">
        <x:f>IFERROR(VLOOKUP(C157,Metric_Dictionary!$A:$I,8,FALSE),"")</x:f>
      </x:c>
      <x:c r="G157" s="6" t="str">
        <x:f>IFERROR(VLOOKUP(C157,Metric_Dictionary!$A:$I,4,FALSE),"")</x:f>
      </x:c>
      <x:c r="H157" s="6" t="str">
        <x:f>IFERROR(VLOOKUP(C157,Metric_Dictionary!$A:$I,9,FALSE),"")</x:f>
      </x:c>
      <x:c r="I157" s="6" t="str">
        <x:f>IFERROR(VLOOKUP(C157,Metric_Dictionary!$A:$I,5,FALSE),"")</x:f>
      </x:c>
      <x:c r="J157" s="6" t="str">
        <x:f>IFERROR(VLOOKUP(C157,Metric_Dictionary!$A:$I,6,FALSE),"")</x:f>
      </x:c>
      <x:c r="K157" s="6" t="str">
        <x:f>IFERROR(VLOOKUP(C157,Metric_Dictionary!$A:$I,7,FALSE),"")</x:f>
      </x:c>
    </x:row>
    <x:row r="158" ht="15.75" customHeight="1">
      <x:c r="A158" s="8" t="n">
        <x:f>Dashboard_Values!A159</x:f>
        <x:v>0</x:v>
      </x:c>
      <x:c r="B158" s="6" t="str">
        <x:f>IFERROR(VLOOKUP(C158,Metric_Dictionary!$A:$I,2,FALSE),"")</x:f>
      </x:c>
      <x:c r="C158" s="6" t="n">
        <x:f>Dashboard_Values!B159</x:f>
        <x:v>0</x:v>
      </x:c>
      <x:c r="D158" s="6" t="str">
        <x:f>IFERROR(VLOOKUP(C158,Metric_Dictionary!$A:$I,3,FALSE),"")</x:f>
      </x:c>
      <x:c r="E158" s="6" t="n">
        <x:f>Dashboard_Values!C159</x:f>
        <x:v>0</x:v>
      </x:c>
      <x:c r="F158" s="6" t="str">
        <x:f>IFERROR(VLOOKUP(C158,Metric_Dictionary!$A:$I,8,FALSE),"")</x:f>
      </x:c>
      <x:c r="G158" s="6" t="str">
        <x:f>IFERROR(VLOOKUP(C158,Metric_Dictionary!$A:$I,4,FALSE),"")</x:f>
      </x:c>
      <x:c r="H158" s="6" t="str">
        <x:f>IFERROR(VLOOKUP(C158,Metric_Dictionary!$A:$I,9,FALSE),"")</x:f>
      </x:c>
      <x:c r="I158" s="6" t="str">
        <x:f>IFERROR(VLOOKUP(C158,Metric_Dictionary!$A:$I,5,FALSE),"")</x:f>
      </x:c>
      <x:c r="J158" s="6" t="str">
        <x:f>IFERROR(VLOOKUP(C158,Metric_Dictionary!$A:$I,6,FALSE),"")</x:f>
      </x:c>
      <x:c r="K158" s="6" t="str">
        <x:f>IFERROR(VLOOKUP(C158,Metric_Dictionary!$A:$I,7,FALSE),"")</x:f>
      </x:c>
    </x:row>
    <x:row r="159" ht="15.75" customHeight="1">
      <x:c r="A159" s="8" t="n">
        <x:f>Dashboard_Values!A160</x:f>
        <x:v>0</x:v>
      </x:c>
      <x:c r="B159" s="6" t="str">
        <x:f>IFERROR(VLOOKUP(C159,Metric_Dictionary!$A:$I,2,FALSE),"")</x:f>
      </x:c>
      <x:c r="C159" s="6" t="n">
        <x:f>Dashboard_Values!B160</x:f>
        <x:v>0</x:v>
      </x:c>
      <x:c r="D159" s="6" t="str">
        <x:f>IFERROR(VLOOKUP(C159,Metric_Dictionary!$A:$I,3,FALSE),"")</x:f>
      </x:c>
      <x:c r="E159" s="6" t="n">
        <x:f>Dashboard_Values!C160</x:f>
        <x:v>0</x:v>
      </x:c>
      <x:c r="F159" s="6" t="str">
        <x:f>IFERROR(VLOOKUP(C159,Metric_Dictionary!$A:$I,8,FALSE),"")</x:f>
      </x:c>
      <x:c r="G159" s="6" t="str">
        <x:f>IFERROR(VLOOKUP(C159,Metric_Dictionary!$A:$I,4,FALSE),"")</x:f>
      </x:c>
      <x:c r="H159" s="6" t="str">
        <x:f>IFERROR(VLOOKUP(C159,Metric_Dictionary!$A:$I,9,FALSE),"")</x:f>
      </x:c>
      <x:c r="I159" s="6" t="str">
        <x:f>IFERROR(VLOOKUP(C159,Metric_Dictionary!$A:$I,5,FALSE),"")</x:f>
      </x:c>
      <x:c r="J159" s="6" t="str">
        <x:f>IFERROR(VLOOKUP(C159,Metric_Dictionary!$A:$I,6,FALSE),"")</x:f>
      </x:c>
      <x:c r="K159" s="6" t="str">
        <x:f>IFERROR(VLOOKUP(C159,Metric_Dictionary!$A:$I,7,FALSE),"")</x:f>
      </x:c>
    </x:row>
    <x:row r="160" ht="15.75" customHeight="1">
      <x:c r="A160" s="8" t="n">
        <x:f>Dashboard_Values!A161</x:f>
        <x:v>0</x:v>
      </x:c>
      <x:c r="B160" s="6" t="str">
        <x:f>IFERROR(VLOOKUP(C160,Metric_Dictionary!$A:$I,2,FALSE),"")</x:f>
      </x:c>
      <x:c r="C160" s="6" t="n">
        <x:f>Dashboard_Values!B161</x:f>
        <x:v>0</x:v>
      </x:c>
      <x:c r="D160" s="6" t="str">
        <x:f>IFERROR(VLOOKUP(C160,Metric_Dictionary!$A:$I,3,FALSE),"")</x:f>
      </x:c>
      <x:c r="E160" s="6" t="n">
        <x:f>Dashboard_Values!C161</x:f>
        <x:v>0</x:v>
      </x:c>
      <x:c r="F160" s="6" t="str">
        <x:f>IFERROR(VLOOKUP(C160,Metric_Dictionary!$A:$I,8,FALSE),"")</x:f>
      </x:c>
      <x:c r="G160" s="6" t="str">
        <x:f>IFERROR(VLOOKUP(C160,Metric_Dictionary!$A:$I,4,FALSE),"")</x:f>
      </x:c>
      <x:c r="H160" s="6" t="str">
        <x:f>IFERROR(VLOOKUP(C160,Metric_Dictionary!$A:$I,9,FALSE),"")</x:f>
      </x:c>
      <x:c r="I160" s="6" t="str">
        <x:f>IFERROR(VLOOKUP(C160,Metric_Dictionary!$A:$I,5,FALSE),"")</x:f>
      </x:c>
      <x:c r="J160" s="6" t="str">
        <x:f>IFERROR(VLOOKUP(C160,Metric_Dictionary!$A:$I,6,FALSE),"")</x:f>
      </x:c>
      <x:c r="K160" s="6" t="str">
        <x:f>IFERROR(VLOOKUP(C160,Metric_Dictionary!$A:$I,7,FALSE),"")</x:f>
      </x:c>
    </x:row>
    <x:row r="161" ht="15.75" customHeight="1">
      <x:c r="A161" s="8" t="n">
        <x:f>Dashboard_Values!A162</x:f>
        <x:v>0</x:v>
      </x:c>
      <x:c r="B161" s="6" t="str">
        <x:f>IFERROR(VLOOKUP(C161,Metric_Dictionary!$A:$I,2,FALSE),"")</x:f>
      </x:c>
      <x:c r="C161" s="6" t="n">
        <x:f>Dashboard_Values!B162</x:f>
        <x:v>0</x:v>
      </x:c>
      <x:c r="D161" s="6" t="str">
        <x:f>IFERROR(VLOOKUP(C161,Metric_Dictionary!$A:$I,3,FALSE),"")</x:f>
      </x:c>
      <x:c r="E161" s="6" t="n">
        <x:f>Dashboard_Values!C162</x:f>
        <x:v>0</x:v>
      </x:c>
      <x:c r="F161" s="6" t="str">
        <x:f>IFERROR(VLOOKUP(C161,Metric_Dictionary!$A:$I,8,FALSE),"")</x:f>
      </x:c>
      <x:c r="G161" s="6" t="str">
        <x:f>IFERROR(VLOOKUP(C161,Metric_Dictionary!$A:$I,4,FALSE),"")</x:f>
      </x:c>
      <x:c r="H161" s="6" t="str">
        <x:f>IFERROR(VLOOKUP(C161,Metric_Dictionary!$A:$I,9,FALSE),"")</x:f>
      </x:c>
      <x:c r="I161" s="6" t="str">
        <x:f>IFERROR(VLOOKUP(C161,Metric_Dictionary!$A:$I,5,FALSE),"")</x:f>
      </x:c>
      <x:c r="J161" s="6" t="str">
        <x:f>IFERROR(VLOOKUP(C161,Metric_Dictionary!$A:$I,6,FALSE),"")</x:f>
      </x:c>
      <x:c r="K161" s="6" t="str">
        <x:f>IFERROR(VLOOKUP(C161,Metric_Dictionary!$A:$I,7,FALSE),"")</x:f>
      </x:c>
    </x:row>
    <x:row r="162" ht="15.75" customHeight="1">
      <x:c r="A162" s="8" t="n">
        <x:f>Dashboard_Values!A163</x:f>
        <x:v>0</x:v>
      </x:c>
      <x:c r="B162" s="6" t="str">
        <x:f>IFERROR(VLOOKUP(C162,Metric_Dictionary!$A:$I,2,FALSE),"")</x:f>
      </x:c>
      <x:c r="C162" s="6" t="n">
        <x:f>Dashboard_Values!B163</x:f>
        <x:v>0</x:v>
      </x:c>
      <x:c r="D162" s="6" t="str">
        <x:f>IFERROR(VLOOKUP(C162,Metric_Dictionary!$A:$I,3,FALSE),"")</x:f>
      </x:c>
      <x:c r="E162" s="6" t="n">
        <x:f>Dashboard_Values!C163</x:f>
        <x:v>0</x:v>
      </x:c>
      <x:c r="F162" s="6" t="str">
        <x:f>IFERROR(VLOOKUP(C162,Metric_Dictionary!$A:$I,8,FALSE),"")</x:f>
      </x:c>
      <x:c r="G162" s="6" t="str">
        <x:f>IFERROR(VLOOKUP(C162,Metric_Dictionary!$A:$I,4,FALSE),"")</x:f>
      </x:c>
      <x:c r="H162" s="6" t="str">
        <x:f>IFERROR(VLOOKUP(C162,Metric_Dictionary!$A:$I,9,FALSE),"")</x:f>
      </x:c>
      <x:c r="I162" s="6" t="str">
        <x:f>IFERROR(VLOOKUP(C162,Metric_Dictionary!$A:$I,5,FALSE),"")</x:f>
      </x:c>
      <x:c r="J162" s="6" t="str">
        <x:f>IFERROR(VLOOKUP(C162,Metric_Dictionary!$A:$I,6,FALSE),"")</x:f>
      </x:c>
      <x:c r="K162" s="6" t="str">
        <x:f>IFERROR(VLOOKUP(C162,Metric_Dictionary!$A:$I,7,FALSE),"")</x:f>
      </x:c>
    </x:row>
    <x:row r="163" ht="15.75" customHeight="1">
      <x:c r="A163" s="8" t="n">
        <x:f>Dashboard_Values!A164</x:f>
        <x:v>0</x:v>
      </x:c>
      <x:c r="B163" s="6" t="str">
        <x:f>IFERROR(VLOOKUP(C163,Metric_Dictionary!$A:$I,2,FALSE),"")</x:f>
      </x:c>
      <x:c r="C163" s="6" t="n">
        <x:f>Dashboard_Values!B164</x:f>
        <x:v>0</x:v>
      </x:c>
      <x:c r="D163" s="6" t="str">
        <x:f>IFERROR(VLOOKUP(C163,Metric_Dictionary!$A:$I,3,FALSE),"")</x:f>
      </x:c>
      <x:c r="E163" s="6" t="n">
        <x:f>Dashboard_Values!C164</x:f>
        <x:v>0</x:v>
      </x:c>
      <x:c r="F163" s="6" t="str">
        <x:f>IFERROR(VLOOKUP(C163,Metric_Dictionary!$A:$I,8,FALSE),"")</x:f>
      </x:c>
      <x:c r="G163" s="6" t="str">
        <x:f>IFERROR(VLOOKUP(C163,Metric_Dictionary!$A:$I,4,FALSE),"")</x:f>
      </x:c>
      <x:c r="H163" s="6" t="str">
        <x:f>IFERROR(VLOOKUP(C163,Metric_Dictionary!$A:$I,9,FALSE),"")</x:f>
      </x:c>
      <x:c r="I163" s="6" t="str">
        <x:f>IFERROR(VLOOKUP(C163,Metric_Dictionary!$A:$I,5,FALSE),"")</x:f>
      </x:c>
      <x:c r="J163" s="6" t="str">
        <x:f>IFERROR(VLOOKUP(C163,Metric_Dictionary!$A:$I,6,FALSE),"")</x:f>
      </x:c>
      <x:c r="K163" s="6" t="str">
        <x:f>IFERROR(VLOOKUP(C163,Metric_Dictionary!$A:$I,7,FALSE),"")</x:f>
      </x:c>
    </x:row>
    <x:row r="164" ht="15.75" customHeight="1">
      <x:c r="A164" s="8" t="n">
        <x:f>Dashboard_Values!A165</x:f>
        <x:v>0</x:v>
      </x:c>
      <x:c r="B164" s="6" t="str">
        <x:f>IFERROR(VLOOKUP(C164,Metric_Dictionary!$A:$I,2,FALSE),"")</x:f>
      </x:c>
      <x:c r="C164" s="6" t="n">
        <x:f>Dashboard_Values!B165</x:f>
        <x:v>0</x:v>
      </x:c>
      <x:c r="D164" s="6" t="str">
        <x:f>IFERROR(VLOOKUP(C164,Metric_Dictionary!$A:$I,3,FALSE),"")</x:f>
      </x:c>
      <x:c r="E164" s="6" t="n">
        <x:f>Dashboard_Values!C165</x:f>
        <x:v>0</x:v>
      </x:c>
      <x:c r="F164" s="6" t="str">
        <x:f>IFERROR(VLOOKUP(C164,Metric_Dictionary!$A:$I,8,FALSE),"")</x:f>
      </x:c>
      <x:c r="G164" s="6" t="str">
        <x:f>IFERROR(VLOOKUP(C164,Metric_Dictionary!$A:$I,4,FALSE),"")</x:f>
      </x:c>
      <x:c r="H164" s="6" t="str">
        <x:f>IFERROR(VLOOKUP(C164,Metric_Dictionary!$A:$I,9,FALSE),"")</x:f>
      </x:c>
      <x:c r="I164" s="6" t="str">
        <x:f>IFERROR(VLOOKUP(C164,Metric_Dictionary!$A:$I,5,FALSE),"")</x:f>
      </x:c>
      <x:c r="J164" s="6" t="str">
        <x:f>IFERROR(VLOOKUP(C164,Metric_Dictionary!$A:$I,6,FALSE),"")</x:f>
      </x:c>
      <x:c r="K164" s="6" t="str">
        <x:f>IFERROR(VLOOKUP(C164,Metric_Dictionary!$A:$I,7,FALSE),"")</x:f>
      </x:c>
    </x:row>
    <x:row r="165" ht="15.75" customHeight="1">
      <x:c r="A165" s="8" t="n">
        <x:f>Dashboard_Values!A166</x:f>
        <x:v>0</x:v>
      </x:c>
      <x:c r="B165" s="6" t="str">
        <x:f>IFERROR(VLOOKUP(C165,Metric_Dictionary!$A:$I,2,FALSE),"")</x:f>
      </x:c>
      <x:c r="C165" s="6" t="n">
        <x:f>Dashboard_Values!B166</x:f>
        <x:v>0</x:v>
      </x:c>
      <x:c r="D165" s="6" t="str">
        <x:f>IFERROR(VLOOKUP(C165,Metric_Dictionary!$A:$I,3,FALSE),"")</x:f>
      </x:c>
      <x:c r="E165" s="6" t="n">
        <x:f>Dashboard_Values!C166</x:f>
        <x:v>0</x:v>
      </x:c>
      <x:c r="F165" s="6" t="str">
        <x:f>IFERROR(VLOOKUP(C165,Metric_Dictionary!$A:$I,8,FALSE),"")</x:f>
      </x:c>
      <x:c r="G165" s="6" t="str">
        <x:f>IFERROR(VLOOKUP(C165,Metric_Dictionary!$A:$I,4,FALSE),"")</x:f>
      </x:c>
      <x:c r="H165" s="6" t="str">
        <x:f>IFERROR(VLOOKUP(C165,Metric_Dictionary!$A:$I,9,FALSE),"")</x:f>
      </x:c>
      <x:c r="I165" s="6" t="str">
        <x:f>IFERROR(VLOOKUP(C165,Metric_Dictionary!$A:$I,5,FALSE),"")</x:f>
      </x:c>
      <x:c r="J165" s="6" t="str">
        <x:f>IFERROR(VLOOKUP(C165,Metric_Dictionary!$A:$I,6,FALSE),"")</x:f>
      </x:c>
      <x:c r="K165" s="6" t="str">
        <x:f>IFERROR(VLOOKUP(C165,Metric_Dictionary!$A:$I,7,FALSE),"")</x:f>
      </x:c>
    </x:row>
    <x:row r="166" ht="15.75" customHeight="1">
      <x:c r="A166" s="8" t="n">
        <x:f>Dashboard_Values!A167</x:f>
        <x:v>0</x:v>
      </x:c>
      <x:c r="B166" s="6" t="str">
        <x:f>IFERROR(VLOOKUP(C166,Metric_Dictionary!$A:$I,2,FALSE),"")</x:f>
      </x:c>
      <x:c r="C166" s="6" t="n">
        <x:f>Dashboard_Values!B167</x:f>
        <x:v>0</x:v>
      </x:c>
      <x:c r="D166" s="6" t="str">
        <x:f>IFERROR(VLOOKUP(C166,Metric_Dictionary!$A:$I,3,FALSE),"")</x:f>
      </x:c>
      <x:c r="E166" s="6" t="n">
        <x:f>Dashboard_Values!C167</x:f>
        <x:v>0</x:v>
      </x:c>
      <x:c r="F166" s="6" t="str">
        <x:f>IFERROR(VLOOKUP(C166,Metric_Dictionary!$A:$I,8,FALSE),"")</x:f>
      </x:c>
      <x:c r="G166" s="6" t="str">
        <x:f>IFERROR(VLOOKUP(C166,Metric_Dictionary!$A:$I,4,FALSE),"")</x:f>
      </x:c>
      <x:c r="H166" s="6" t="str">
        <x:f>IFERROR(VLOOKUP(C166,Metric_Dictionary!$A:$I,9,FALSE),"")</x:f>
      </x:c>
      <x:c r="I166" s="6" t="str">
        <x:f>IFERROR(VLOOKUP(C166,Metric_Dictionary!$A:$I,5,FALSE),"")</x:f>
      </x:c>
      <x:c r="J166" s="6" t="str">
        <x:f>IFERROR(VLOOKUP(C166,Metric_Dictionary!$A:$I,6,FALSE),"")</x:f>
      </x:c>
      <x:c r="K166" s="6" t="str">
        <x:f>IFERROR(VLOOKUP(C166,Metric_Dictionary!$A:$I,7,FALSE),"")</x:f>
      </x:c>
    </x:row>
    <x:row r="167" ht="15.75" customHeight="1">
      <x:c r="A167" s="8" t="n">
        <x:f>Dashboard_Values!A168</x:f>
        <x:v>0</x:v>
      </x:c>
      <x:c r="B167" s="6" t="str">
        <x:f>IFERROR(VLOOKUP(C167,Metric_Dictionary!$A:$I,2,FALSE),"")</x:f>
      </x:c>
      <x:c r="C167" s="6" t="n">
        <x:f>Dashboard_Values!B168</x:f>
        <x:v>0</x:v>
      </x:c>
      <x:c r="D167" s="6" t="str">
        <x:f>IFERROR(VLOOKUP(C167,Metric_Dictionary!$A:$I,3,FALSE),"")</x:f>
      </x:c>
      <x:c r="E167" s="6" t="n">
        <x:f>Dashboard_Values!C168</x:f>
        <x:v>0</x:v>
      </x:c>
      <x:c r="F167" s="6" t="str">
        <x:f>IFERROR(VLOOKUP(C167,Metric_Dictionary!$A:$I,8,FALSE),"")</x:f>
      </x:c>
      <x:c r="G167" s="6" t="str">
        <x:f>IFERROR(VLOOKUP(C167,Metric_Dictionary!$A:$I,4,FALSE),"")</x:f>
      </x:c>
      <x:c r="H167" s="6" t="str">
        <x:f>IFERROR(VLOOKUP(C167,Metric_Dictionary!$A:$I,9,FALSE),"")</x:f>
      </x:c>
      <x:c r="I167" s="6" t="str">
        <x:f>IFERROR(VLOOKUP(C167,Metric_Dictionary!$A:$I,5,FALSE),"")</x:f>
      </x:c>
      <x:c r="J167" s="6" t="str">
        <x:f>IFERROR(VLOOKUP(C167,Metric_Dictionary!$A:$I,6,FALSE),"")</x:f>
      </x:c>
      <x:c r="K167" s="6" t="str">
        <x:f>IFERROR(VLOOKUP(C167,Metric_Dictionary!$A:$I,7,FALSE),"")</x:f>
      </x:c>
    </x:row>
    <x:row r="168" ht="15.75" customHeight="1">
      <x:c r="A168" s="8" t="n">
        <x:f>Dashboard_Values!A169</x:f>
        <x:v>0</x:v>
      </x:c>
      <x:c r="B168" s="6" t="str">
        <x:f>IFERROR(VLOOKUP(C168,Metric_Dictionary!$A:$I,2,FALSE),"")</x:f>
      </x:c>
      <x:c r="C168" s="6" t="n">
        <x:f>Dashboard_Values!B169</x:f>
        <x:v>0</x:v>
      </x:c>
      <x:c r="D168" s="6" t="str">
        <x:f>IFERROR(VLOOKUP(C168,Metric_Dictionary!$A:$I,3,FALSE),"")</x:f>
      </x:c>
      <x:c r="E168" s="6" t="n">
        <x:f>Dashboard_Values!C169</x:f>
        <x:v>0</x:v>
      </x:c>
      <x:c r="F168" s="6" t="str">
        <x:f>IFERROR(VLOOKUP(C168,Metric_Dictionary!$A:$I,8,FALSE),"")</x:f>
      </x:c>
      <x:c r="G168" s="6" t="str">
        <x:f>IFERROR(VLOOKUP(C168,Metric_Dictionary!$A:$I,4,FALSE),"")</x:f>
      </x:c>
      <x:c r="H168" s="6" t="str">
        <x:f>IFERROR(VLOOKUP(C168,Metric_Dictionary!$A:$I,9,FALSE),"")</x:f>
      </x:c>
      <x:c r="I168" s="6" t="str">
        <x:f>IFERROR(VLOOKUP(C168,Metric_Dictionary!$A:$I,5,FALSE),"")</x:f>
      </x:c>
      <x:c r="J168" s="6" t="str">
        <x:f>IFERROR(VLOOKUP(C168,Metric_Dictionary!$A:$I,6,FALSE),"")</x:f>
      </x:c>
      <x:c r="K168" s="6" t="str">
        <x:f>IFERROR(VLOOKUP(C168,Metric_Dictionary!$A:$I,7,FALSE),"")</x:f>
      </x:c>
    </x:row>
    <x:row r="169" ht="15.75" customHeight="1">
      <x:c r="A169" s="8" t="n">
        <x:f>Dashboard_Values!A170</x:f>
        <x:v>0</x:v>
      </x:c>
      <x:c r="B169" s="6" t="str">
        <x:f>IFERROR(VLOOKUP(C169,Metric_Dictionary!$A:$I,2,FALSE),"")</x:f>
      </x:c>
      <x:c r="C169" s="6" t="n">
        <x:f>Dashboard_Values!B170</x:f>
        <x:v>0</x:v>
      </x:c>
      <x:c r="D169" s="6" t="str">
        <x:f>IFERROR(VLOOKUP(C169,Metric_Dictionary!$A:$I,3,FALSE),"")</x:f>
      </x:c>
      <x:c r="E169" s="6" t="n">
        <x:f>Dashboard_Values!C170</x:f>
        <x:v>0</x:v>
      </x:c>
      <x:c r="F169" s="6" t="str">
        <x:f>IFERROR(VLOOKUP(C169,Metric_Dictionary!$A:$I,8,FALSE),"")</x:f>
      </x:c>
      <x:c r="G169" s="6" t="str">
        <x:f>IFERROR(VLOOKUP(C169,Metric_Dictionary!$A:$I,4,FALSE),"")</x:f>
      </x:c>
      <x:c r="H169" s="6" t="str">
        <x:f>IFERROR(VLOOKUP(C169,Metric_Dictionary!$A:$I,9,FALSE),"")</x:f>
      </x:c>
      <x:c r="I169" s="6" t="str">
        <x:f>IFERROR(VLOOKUP(C169,Metric_Dictionary!$A:$I,5,FALSE),"")</x:f>
      </x:c>
      <x:c r="J169" s="6" t="str">
        <x:f>IFERROR(VLOOKUP(C169,Metric_Dictionary!$A:$I,6,FALSE),"")</x:f>
      </x:c>
      <x:c r="K169" s="6" t="str">
        <x:f>IFERROR(VLOOKUP(C169,Metric_Dictionary!$A:$I,7,FALSE),"")</x:f>
      </x:c>
    </x:row>
    <x:row r="170" ht="15.75" customHeight="1">
      <x:c r="A170" s="8" t="n">
        <x:f>Dashboard_Values!A171</x:f>
        <x:v>0</x:v>
      </x:c>
      <x:c r="B170" s="6" t="str">
        <x:f>IFERROR(VLOOKUP(C170,Metric_Dictionary!$A:$I,2,FALSE),"")</x:f>
      </x:c>
      <x:c r="C170" s="6" t="n">
        <x:f>Dashboard_Values!B171</x:f>
        <x:v>0</x:v>
      </x:c>
      <x:c r="D170" s="6" t="str">
        <x:f>IFERROR(VLOOKUP(C170,Metric_Dictionary!$A:$I,3,FALSE),"")</x:f>
      </x:c>
      <x:c r="E170" s="6" t="n">
        <x:f>Dashboard_Values!C171</x:f>
        <x:v>0</x:v>
      </x:c>
      <x:c r="F170" s="6" t="str">
        <x:f>IFERROR(VLOOKUP(C170,Metric_Dictionary!$A:$I,8,FALSE),"")</x:f>
      </x:c>
      <x:c r="G170" s="6" t="str">
        <x:f>IFERROR(VLOOKUP(C170,Metric_Dictionary!$A:$I,4,FALSE),"")</x:f>
      </x:c>
      <x:c r="H170" s="6" t="str">
        <x:f>IFERROR(VLOOKUP(C170,Metric_Dictionary!$A:$I,9,FALSE),"")</x:f>
      </x:c>
      <x:c r="I170" s="6" t="str">
        <x:f>IFERROR(VLOOKUP(C170,Metric_Dictionary!$A:$I,5,FALSE),"")</x:f>
      </x:c>
      <x:c r="J170" s="6" t="str">
        <x:f>IFERROR(VLOOKUP(C170,Metric_Dictionary!$A:$I,6,FALSE),"")</x:f>
      </x:c>
      <x:c r="K170" s="6" t="str">
        <x:f>IFERROR(VLOOKUP(C170,Metric_Dictionary!$A:$I,7,FALSE),"")</x:f>
      </x:c>
    </x:row>
    <x:row r="171" ht="15.75" customHeight="1">
      <x:c r="A171" s="8" t="n">
        <x:f>Dashboard_Values!A172</x:f>
        <x:v>0</x:v>
      </x:c>
      <x:c r="B171" s="6" t="str">
        <x:f>IFERROR(VLOOKUP(C171,Metric_Dictionary!$A:$I,2,FALSE),"")</x:f>
      </x:c>
      <x:c r="C171" s="6" t="n">
        <x:f>Dashboard_Values!B172</x:f>
        <x:v>0</x:v>
      </x:c>
      <x:c r="D171" s="6" t="str">
        <x:f>IFERROR(VLOOKUP(C171,Metric_Dictionary!$A:$I,3,FALSE),"")</x:f>
      </x:c>
      <x:c r="E171" s="6" t="n">
        <x:f>Dashboard_Values!C172</x:f>
        <x:v>0</x:v>
      </x:c>
      <x:c r="F171" s="6" t="str">
        <x:f>IFERROR(VLOOKUP(C171,Metric_Dictionary!$A:$I,8,FALSE),"")</x:f>
      </x:c>
      <x:c r="G171" s="6" t="str">
        <x:f>IFERROR(VLOOKUP(C171,Metric_Dictionary!$A:$I,4,FALSE),"")</x:f>
      </x:c>
      <x:c r="H171" s="6" t="str">
        <x:f>IFERROR(VLOOKUP(C171,Metric_Dictionary!$A:$I,9,FALSE),"")</x:f>
      </x:c>
      <x:c r="I171" s="6" t="str">
        <x:f>IFERROR(VLOOKUP(C171,Metric_Dictionary!$A:$I,5,FALSE),"")</x:f>
      </x:c>
      <x:c r="J171" s="6" t="str">
        <x:f>IFERROR(VLOOKUP(C171,Metric_Dictionary!$A:$I,6,FALSE),"")</x:f>
      </x:c>
      <x:c r="K171" s="6" t="str">
        <x:f>IFERROR(VLOOKUP(C171,Metric_Dictionary!$A:$I,7,FALSE),"")</x:f>
      </x:c>
    </x:row>
    <x:row r="172" ht="15.75" customHeight="1">
      <x:c r="A172" s="8" t="n">
        <x:f>Dashboard_Values!A173</x:f>
        <x:v>0</x:v>
      </x:c>
      <x:c r="B172" s="6" t="str">
        <x:f>IFERROR(VLOOKUP(C172,Metric_Dictionary!$A:$I,2,FALSE),"")</x:f>
      </x:c>
      <x:c r="C172" s="6" t="n">
        <x:f>Dashboard_Values!B173</x:f>
        <x:v>0</x:v>
      </x:c>
      <x:c r="D172" s="6" t="str">
        <x:f>IFERROR(VLOOKUP(C172,Metric_Dictionary!$A:$I,3,FALSE),"")</x:f>
      </x:c>
      <x:c r="E172" s="6" t="n">
        <x:f>Dashboard_Values!C173</x:f>
        <x:v>0</x:v>
      </x:c>
      <x:c r="F172" s="6" t="str">
        <x:f>IFERROR(VLOOKUP(C172,Metric_Dictionary!$A:$I,8,FALSE),"")</x:f>
      </x:c>
      <x:c r="G172" s="6" t="str">
        <x:f>IFERROR(VLOOKUP(C172,Metric_Dictionary!$A:$I,4,FALSE),"")</x:f>
      </x:c>
      <x:c r="H172" s="6" t="str">
        <x:f>IFERROR(VLOOKUP(C172,Metric_Dictionary!$A:$I,9,FALSE),"")</x:f>
      </x:c>
      <x:c r="I172" s="6" t="str">
        <x:f>IFERROR(VLOOKUP(C172,Metric_Dictionary!$A:$I,5,FALSE),"")</x:f>
      </x:c>
      <x:c r="J172" s="6" t="str">
        <x:f>IFERROR(VLOOKUP(C172,Metric_Dictionary!$A:$I,6,FALSE),"")</x:f>
      </x:c>
      <x:c r="K172" s="6" t="str">
        <x:f>IFERROR(VLOOKUP(C172,Metric_Dictionary!$A:$I,7,FALSE),"")</x:f>
      </x:c>
    </x:row>
    <x:row r="173" ht="15.75" customHeight="1">
      <x:c r="A173" s="8" t="n">
        <x:f>Dashboard_Values!A174</x:f>
        <x:v>0</x:v>
      </x:c>
      <x:c r="B173" s="6" t="str">
        <x:f>IFERROR(VLOOKUP(C173,Metric_Dictionary!$A:$I,2,FALSE),"")</x:f>
      </x:c>
      <x:c r="C173" s="6" t="n">
        <x:f>Dashboard_Values!B174</x:f>
        <x:v>0</x:v>
      </x:c>
      <x:c r="D173" s="6" t="str">
        <x:f>IFERROR(VLOOKUP(C173,Metric_Dictionary!$A:$I,3,FALSE),"")</x:f>
      </x:c>
      <x:c r="E173" s="6" t="n">
        <x:f>Dashboard_Values!C174</x:f>
        <x:v>0</x:v>
      </x:c>
      <x:c r="F173" s="6" t="str">
        <x:f>IFERROR(VLOOKUP(C173,Metric_Dictionary!$A:$I,8,FALSE),"")</x:f>
      </x:c>
      <x:c r="G173" s="6" t="str">
        <x:f>IFERROR(VLOOKUP(C173,Metric_Dictionary!$A:$I,4,FALSE),"")</x:f>
      </x:c>
      <x:c r="H173" s="6" t="str">
        <x:f>IFERROR(VLOOKUP(C173,Metric_Dictionary!$A:$I,9,FALSE),"")</x:f>
      </x:c>
      <x:c r="I173" s="6" t="str">
        <x:f>IFERROR(VLOOKUP(C173,Metric_Dictionary!$A:$I,5,FALSE),"")</x:f>
      </x:c>
      <x:c r="J173" s="6" t="str">
        <x:f>IFERROR(VLOOKUP(C173,Metric_Dictionary!$A:$I,6,FALSE),"")</x:f>
      </x:c>
      <x:c r="K173" s="6" t="str">
        <x:f>IFERROR(VLOOKUP(C173,Metric_Dictionary!$A:$I,7,FALSE),"")</x:f>
      </x:c>
    </x:row>
    <x:row r="174" ht="15.75" customHeight="1">
      <x:c r="A174" s="8" t="n">
        <x:f>Dashboard_Values!A175</x:f>
        <x:v>0</x:v>
      </x:c>
      <x:c r="B174" s="6" t="str">
        <x:f>IFERROR(VLOOKUP(C174,Metric_Dictionary!$A:$I,2,FALSE),"")</x:f>
      </x:c>
      <x:c r="C174" s="6" t="n">
        <x:f>Dashboard_Values!B175</x:f>
        <x:v>0</x:v>
      </x:c>
      <x:c r="D174" s="6" t="str">
        <x:f>IFERROR(VLOOKUP(C174,Metric_Dictionary!$A:$I,3,FALSE),"")</x:f>
      </x:c>
      <x:c r="E174" s="6" t="n">
        <x:f>Dashboard_Values!C175</x:f>
        <x:v>0</x:v>
      </x:c>
      <x:c r="F174" s="6" t="str">
        <x:f>IFERROR(VLOOKUP(C174,Metric_Dictionary!$A:$I,8,FALSE),"")</x:f>
      </x:c>
      <x:c r="G174" s="6" t="str">
        <x:f>IFERROR(VLOOKUP(C174,Metric_Dictionary!$A:$I,4,FALSE),"")</x:f>
      </x:c>
      <x:c r="H174" s="6" t="str">
        <x:f>IFERROR(VLOOKUP(C174,Metric_Dictionary!$A:$I,9,FALSE),"")</x:f>
      </x:c>
      <x:c r="I174" s="6" t="str">
        <x:f>IFERROR(VLOOKUP(C174,Metric_Dictionary!$A:$I,5,FALSE),"")</x:f>
      </x:c>
      <x:c r="J174" s="6" t="str">
        <x:f>IFERROR(VLOOKUP(C174,Metric_Dictionary!$A:$I,6,FALSE),"")</x:f>
      </x:c>
      <x:c r="K174" s="6" t="str">
        <x:f>IFERROR(VLOOKUP(C174,Metric_Dictionary!$A:$I,7,FALSE),"")</x:f>
      </x:c>
    </x:row>
    <x:row r="175" ht="15.75" customHeight="1">
      <x:c r="A175" s="8" t="n">
        <x:f>Dashboard_Values!A176</x:f>
        <x:v>0</x:v>
      </x:c>
      <x:c r="B175" s="6" t="str">
        <x:f>IFERROR(VLOOKUP(C175,Metric_Dictionary!$A:$I,2,FALSE),"")</x:f>
      </x:c>
      <x:c r="C175" s="6" t="n">
        <x:f>Dashboard_Values!B176</x:f>
        <x:v>0</x:v>
      </x:c>
      <x:c r="D175" s="6" t="str">
        <x:f>IFERROR(VLOOKUP(C175,Metric_Dictionary!$A:$I,3,FALSE),"")</x:f>
      </x:c>
      <x:c r="E175" s="6" t="n">
        <x:f>Dashboard_Values!C176</x:f>
        <x:v>0</x:v>
      </x:c>
      <x:c r="F175" s="6" t="str">
        <x:f>IFERROR(VLOOKUP(C175,Metric_Dictionary!$A:$I,8,FALSE),"")</x:f>
      </x:c>
      <x:c r="G175" s="6" t="str">
        <x:f>IFERROR(VLOOKUP(C175,Metric_Dictionary!$A:$I,4,FALSE),"")</x:f>
      </x:c>
      <x:c r="H175" s="6" t="str">
        <x:f>IFERROR(VLOOKUP(C175,Metric_Dictionary!$A:$I,9,FALSE),"")</x:f>
      </x:c>
      <x:c r="I175" s="6" t="str">
        <x:f>IFERROR(VLOOKUP(C175,Metric_Dictionary!$A:$I,5,FALSE),"")</x:f>
      </x:c>
      <x:c r="J175" s="6" t="str">
        <x:f>IFERROR(VLOOKUP(C175,Metric_Dictionary!$A:$I,6,FALSE),"")</x:f>
      </x:c>
      <x:c r="K175" s="6" t="str">
        <x:f>IFERROR(VLOOKUP(C175,Metric_Dictionary!$A:$I,7,FALSE),"")</x:f>
      </x:c>
    </x:row>
    <x:row r="176" ht="15.75" customHeight="1">
      <x:c r="A176" s="8" t="n">
        <x:f>Dashboard_Values!A177</x:f>
        <x:v>0</x:v>
      </x:c>
      <x:c r="B176" s="6" t="str">
        <x:f>IFERROR(VLOOKUP(C176,Metric_Dictionary!$A:$I,2,FALSE),"")</x:f>
      </x:c>
      <x:c r="C176" s="6" t="n">
        <x:f>Dashboard_Values!B177</x:f>
        <x:v>0</x:v>
      </x:c>
      <x:c r="D176" s="6" t="str">
        <x:f>IFERROR(VLOOKUP(C176,Metric_Dictionary!$A:$I,3,FALSE),"")</x:f>
      </x:c>
      <x:c r="E176" s="6" t="n">
        <x:f>Dashboard_Values!C177</x:f>
        <x:v>0</x:v>
      </x:c>
      <x:c r="F176" s="6" t="str">
        <x:f>IFERROR(VLOOKUP(C176,Metric_Dictionary!$A:$I,8,FALSE),"")</x:f>
      </x:c>
      <x:c r="G176" s="6" t="str">
        <x:f>IFERROR(VLOOKUP(C176,Metric_Dictionary!$A:$I,4,FALSE),"")</x:f>
      </x:c>
      <x:c r="H176" s="6" t="str">
        <x:f>IFERROR(VLOOKUP(C176,Metric_Dictionary!$A:$I,9,FALSE),"")</x:f>
      </x:c>
      <x:c r="I176" s="6" t="str">
        <x:f>IFERROR(VLOOKUP(C176,Metric_Dictionary!$A:$I,5,FALSE),"")</x:f>
      </x:c>
      <x:c r="J176" s="6" t="str">
        <x:f>IFERROR(VLOOKUP(C176,Metric_Dictionary!$A:$I,6,FALSE),"")</x:f>
      </x:c>
      <x:c r="K176" s="6" t="str">
        <x:f>IFERROR(VLOOKUP(C176,Metric_Dictionary!$A:$I,7,FALSE),"")</x:f>
      </x:c>
    </x:row>
    <x:row r="177" ht="15.75" customHeight="1">
      <x:c r="A177" s="8" t="n">
        <x:f>Dashboard_Values!A178</x:f>
        <x:v>0</x:v>
      </x:c>
      <x:c r="B177" s="6" t="str">
        <x:f>IFERROR(VLOOKUP(C177,Metric_Dictionary!$A:$I,2,FALSE),"")</x:f>
      </x:c>
      <x:c r="C177" s="6" t="n">
        <x:f>Dashboard_Values!B178</x:f>
        <x:v>0</x:v>
      </x:c>
      <x:c r="D177" s="6" t="str">
        <x:f>IFERROR(VLOOKUP(C177,Metric_Dictionary!$A:$I,3,FALSE),"")</x:f>
      </x:c>
      <x:c r="E177" s="6" t="n">
        <x:f>Dashboard_Values!C178</x:f>
        <x:v>0</x:v>
      </x:c>
      <x:c r="F177" s="6" t="str">
        <x:f>IFERROR(VLOOKUP(C177,Metric_Dictionary!$A:$I,8,FALSE),"")</x:f>
      </x:c>
      <x:c r="G177" s="6" t="str">
        <x:f>IFERROR(VLOOKUP(C177,Metric_Dictionary!$A:$I,4,FALSE),"")</x:f>
      </x:c>
      <x:c r="H177" s="6" t="str">
        <x:f>IFERROR(VLOOKUP(C177,Metric_Dictionary!$A:$I,9,FALSE),"")</x:f>
      </x:c>
      <x:c r="I177" s="6" t="str">
        <x:f>IFERROR(VLOOKUP(C177,Metric_Dictionary!$A:$I,5,FALSE),"")</x:f>
      </x:c>
      <x:c r="J177" s="6" t="str">
        <x:f>IFERROR(VLOOKUP(C177,Metric_Dictionary!$A:$I,6,FALSE),"")</x:f>
      </x:c>
      <x:c r="K177" s="6" t="str">
        <x:f>IFERROR(VLOOKUP(C177,Metric_Dictionary!$A:$I,7,FALSE),"")</x:f>
      </x:c>
    </x:row>
    <x:row r="178" ht="15.75" customHeight="1">
      <x:c r="A178" s="8" t="n">
        <x:f>Dashboard_Values!A179</x:f>
        <x:v>0</x:v>
      </x:c>
      <x:c r="B178" s="6" t="str">
        <x:f>IFERROR(VLOOKUP(C178,Metric_Dictionary!$A:$I,2,FALSE),"")</x:f>
      </x:c>
      <x:c r="C178" s="6" t="n">
        <x:f>Dashboard_Values!B179</x:f>
        <x:v>0</x:v>
      </x:c>
      <x:c r="D178" s="6" t="str">
        <x:f>IFERROR(VLOOKUP(C178,Metric_Dictionary!$A:$I,3,FALSE),"")</x:f>
      </x:c>
      <x:c r="E178" s="6" t="n">
        <x:f>Dashboard_Values!C179</x:f>
        <x:v>0</x:v>
      </x:c>
      <x:c r="F178" s="6" t="str">
        <x:f>IFERROR(VLOOKUP(C178,Metric_Dictionary!$A:$I,8,FALSE),"")</x:f>
      </x:c>
      <x:c r="G178" s="6" t="str">
        <x:f>IFERROR(VLOOKUP(C178,Metric_Dictionary!$A:$I,4,FALSE),"")</x:f>
      </x:c>
      <x:c r="H178" s="6" t="str">
        <x:f>IFERROR(VLOOKUP(C178,Metric_Dictionary!$A:$I,9,FALSE),"")</x:f>
      </x:c>
      <x:c r="I178" s="6" t="str">
        <x:f>IFERROR(VLOOKUP(C178,Metric_Dictionary!$A:$I,5,FALSE),"")</x:f>
      </x:c>
      <x:c r="J178" s="6" t="str">
        <x:f>IFERROR(VLOOKUP(C178,Metric_Dictionary!$A:$I,6,FALSE),"")</x:f>
      </x:c>
      <x:c r="K178" s="6" t="str">
        <x:f>IFERROR(VLOOKUP(C178,Metric_Dictionary!$A:$I,7,FALSE),"")</x:f>
      </x:c>
    </x:row>
    <x:row r="179" ht="15.75" customHeight="1">
      <x:c r="A179" s="8" t="n">
        <x:f>Dashboard_Values!A180</x:f>
        <x:v>0</x:v>
      </x:c>
      <x:c r="B179" s="6" t="str">
        <x:f>IFERROR(VLOOKUP(C179,Metric_Dictionary!$A:$I,2,FALSE),"")</x:f>
      </x:c>
      <x:c r="C179" s="6" t="n">
        <x:f>Dashboard_Values!B180</x:f>
        <x:v>0</x:v>
      </x:c>
      <x:c r="D179" s="6" t="str">
        <x:f>IFERROR(VLOOKUP(C179,Metric_Dictionary!$A:$I,3,FALSE),"")</x:f>
      </x:c>
      <x:c r="E179" s="6" t="n">
        <x:f>Dashboard_Values!C180</x:f>
        <x:v>0</x:v>
      </x:c>
      <x:c r="F179" s="6" t="str">
        <x:f>IFERROR(VLOOKUP(C179,Metric_Dictionary!$A:$I,8,FALSE),"")</x:f>
      </x:c>
      <x:c r="G179" s="6" t="str">
        <x:f>IFERROR(VLOOKUP(C179,Metric_Dictionary!$A:$I,4,FALSE),"")</x:f>
      </x:c>
      <x:c r="H179" s="6" t="str">
        <x:f>IFERROR(VLOOKUP(C179,Metric_Dictionary!$A:$I,9,FALSE),"")</x:f>
      </x:c>
      <x:c r="I179" s="6" t="str">
        <x:f>IFERROR(VLOOKUP(C179,Metric_Dictionary!$A:$I,5,FALSE),"")</x:f>
      </x:c>
      <x:c r="J179" s="6" t="str">
        <x:f>IFERROR(VLOOKUP(C179,Metric_Dictionary!$A:$I,6,FALSE),"")</x:f>
      </x:c>
      <x:c r="K179" s="6" t="str">
        <x:f>IFERROR(VLOOKUP(C179,Metric_Dictionary!$A:$I,7,FALSE),"")</x:f>
      </x:c>
    </x:row>
    <x:row r="180" ht="15.75" customHeight="1">
      <x:c r="A180" s="8" t="n">
        <x:f>Dashboard_Values!A181</x:f>
        <x:v>0</x:v>
      </x:c>
      <x:c r="B180" s="6" t="str">
        <x:f>IFERROR(VLOOKUP(C180,Metric_Dictionary!$A:$I,2,FALSE),"")</x:f>
      </x:c>
      <x:c r="C180" s="6" t="n">
        <x:f>Dashboard_Values!B181</x:f>
        <x:v>0</x:v>
      </x:c>
      <x:c r="D180" s="6" t="str">
        <x:f>IFERROR(VLOOKUP(C180,Metric_Dictionary!$A:$I,3,FALSE),"")</x:f>
      </x:c>
      <x:c r="E180" s="6" t="n">
        <x:f>Dashboard_Values!C181</x:f>
        <x:v>0</x:v>
      </x:c>
      <x:c r="F180" s="6" t="str">
        <x:f>IFERROR(VLOOKUP(C180,Metric_Dictionary!$A:$I,8,FALSE),"")</x:f>
      </x:c>
      <x:c r="G180" s="6" t="str">
        <x:f>IFERROR(VLOOKUP(C180,Metric_Dictionary!$A:$I,4,FALSE),"")</x:f>
      </x:c>
      <x:c r="H180" s="6" t="str">
        <x:f>IFERROR(VLOOKUP(C180,Metric_Dictionary!$A:$I,9,FALSE),"")</x:f>
      </x:c>
      <x:c r="I180" s="6" t="str">
        <x:f>IFERROR(VLOOKUP(C180,Metric_Dictionary!$A:$I,5,FALSE),"")</x:f>
      </x:c>
      <x:c r="J180" s="6" t="str">
        <x:f>IFERROR(VLOOKUP(C180,Metric_Dictionary!$A:$I,6,FALSE),"")</x:f>
      </x:c>
      <x:c r="K180" s="6" t="str">
        <x:f>IFERROR(VLOOKUP(C180,Metric_Dictionary!$A:$I,7,FALSE),"")</x:f>
      </x:c>
    </x:row>
    <x:row r="181" ht="15.75" customHeight="1">
      <x:c r="A181" s="8" t="n">
        <x:f>Dashboard_Values!A182</x:f>
        <x:v>0</x:v>
      </x:c>
      <x:c r="B181" s="6" t="str">
        <x:f>IFERROR(VLOOKUP(C181,Metric_Dictionary!$A:$I,2,FALSE),"")</x:f>
      </x:c>
      <x:c r="C181" s="6" t="n">
        <x:f>Dashboard_Values!B182</x:f>
        <x:v>0</x:v>
      </x:c>
      <x:c r="D181" s="6" t="str">
        <x:f>IFERROR(VLOOKUP(C181,Metric_Dictionary!$A:$I,3,FALSE),"")</x:f>
      </x:c>
      <x:c r="E181" s="6" t="n">
        <x:f>Dashboard_Values!C182</x:f>
        <x:v>0</x:v>
      </x:c>
      <x:c r="F181" s="6" t="str">
        <x:f>IFERROR(VLOOKUP(C181,Metric_Dictionary!$A:$I,8,FALSE),"")</x:f>
      </x:c>
      <x:c r="G181" s="6" t="str">
        <x:f>IFERROR(VLOOKUP(C181,Metric_Dictionary!$A:$I,4,FALSE),"")</x:f>
      </x:c>
      <x:c r="H181" s="6" t="str">
        <x:f>IFERROR(VLOOKUP(C181,Metric_Dictionary!$A:$I,9,FALSE),"")</x:f>
      </x:c>
      <x:c r="I181" s="6" t="str">
        <x:f>IFERROR(VLOOKUP(C181,Metric_Dictionary!$A:$I,5,FALSE),"")</x:f>
      </x:c>
      <x:c r="J181" s="6" t="str">
        <x:f>IFERROR(VLOOKUP(C181,Metric_Dictionary!$A:$I,6,FALSE),"")</x:f>
      </x:c>
      <x:c r="K181" s="6" t="str">
        <x:f>IFERROR(VLOOKUP(C181,Metric_Dictionary!$A:$I,7,FALSE),"")</x:f>
      </x:c>
    </x:row>
    <x:row r="182" ht="15.75" customHeight="1">
      <x:c r="A182" s="8" t="n">
        <x:f>Dashboard_Values!A183</x:f>
        <x:v>0</x:v>
      </x:c>
      <x:c r="B182" s="6" t="str">
        <x:f>IFERROR(VLOOKUP(C182,Metric_Dictionary!$A:$I,2,FALSE),"")</x:f>
      </x:c>
      <x:c r="C182" s="6" t="n">
        <x:f>Dashboard_Values!B183</x:f>
        <x:v>0</x:v>
      </x:c>
      <x:c r="D182" s="6" t="str">
        <x:f>IFERROR(VLOOKUP(C182,Metric_Dictionary!$A:$I,3,FALSE),"")</x:f>
      </x:c>
      <x:c r="E182" s="6" t="n">
        <x:f>Dashboard_Values!C183</x:f>
        <x:v>0</x:v>
      </x:c>
      <x:c r="F182" s="6" t="str">
        <x:f>IFERROR(VLOOKUP(C182,Metric_Dictionary!$A:$I,8,FALSE),"")</x:f>
      </x:c>
      <x:c r="G182" s="6" t="str">
        <x:f>IFERROR(VLOOKUP(C182,Metric_Dictionary!$A:$I,4,FALSE),"")</x:f>
      </x:c>
      <x:c r="H182" s="6" t="str">
        <x:f>IFERROR(VLOOKUP(C182,Metric_Dictionary!$A:$I,9,FALSE),"")</x:f>
      </x:c>
      <x:c r="I182" s="6" t="str">
        <x:f>IFERROR(VLOOKUP(C182,Metric_Dictionary!$A:$I,5,FALSE),"")</x:f>
      </x:c>
      <x:c r="J182" s="6" t="str">
        <x:f>IFERROR(VLOOKUP(C182,Metric_Dictionary!$A:$I,6,FALSE),"")</x:f>
      </x:c>
      <x:c r="K182" s="6" t="str">
        <x:f>IFERROR(VLOOKUP(C182,Metric_Dictionary!$A:$I,7,FALSE),"")</x:f>
      </x:c>
    </x:row>
    <x:row r="183" ht="15.75" customHeight="1">
      <x:c r="A183" s="8" t="n">
        <x:f>Dashboard_Values!A184</x:f>
        <x:v>0</x:v>
      </x:c>
      <x:c r="B183" s="6" t="str">
        <x:f>IFERROR(VLOOKUP(C183,Metric_Dictionary!$A:$I,2,FALSE),"")</x:f>
      </x:c>
      <x:c r="C183" s="6" t="n">
        <x:f>Dashboard_Values!B184</x:f>
        <x:v>0</x:v>
      </x:c>
      <x:c r="D183" s="6" t="str">
        <x:f>IFERROR(VLOOKUP(C183,Metric_Dictionary!$A:$I,3,FALSE),"")</x:f>
      </x:c>
      <x:c r="E183" s="6" t="n">
        <x:f>Dashboard_Values!C184</x:f>
        <x:v>0</x:v>
      </x:c>
      <x:c r="F183" s="6" t="str">
        <x:f>IFERROR(VLOOKUP(C183,Metric_Dictionary!$A:$I,8,FALSE),"")</x:f>
      </x:c>
      <x:c r="G183" s="6" t="str">
        <x:f>IFERROR(VLOOKUP(C183,Metric_Dictionary!$A:$I,4,FALSE),"")</x:f>
      </x:c>
      <x:c r="H183" s="6" t="str">
        <x:f>IFERROR(VLOOKUP(C183,Metric_Dictionary!$A:$I,9,FALSE),"")</x:f>
      </x:c>
      <x:c r="I183" s="6" t="str">
        <x:f>IFERROR(VLOOKUP(C183,Metric_Dictionary!$A:$I,5,FALSE),"")</x:f>
      </x:c>
      <x:c r="J183" s="6" t="str">
        <x:f>IFERROR(VLOOKUP(C183,Metric_Dictionary!$A:$I,6,FALSE),"")</x:f>
      </x:c>
      <x:c r="K183" s="6" t="str">
        <x:f>IFERROR(VLOOKUP(C183,Metric_Dictionary!$A:$I,7,FALSE),"")</x:f>
      </x:c>
    </x:row>
    <x:row r="184" ht="15.75" customHeight="1">
      <x:c r="A184" s="8" t="n">
        <x:f>Dashboard_Values!A185</x:f>
        <x:v>0</x:v>
      </x:c>
      <x:c r="B184" s="6" t="str">
        <x:f>IFERROR(VLOOKUP(C184,Metric_Dictionary!$A:$I,2,FALSE),"")</x:f>
      </x:c>
      <x:c r="C184" s="6" t="n">
        <x:f>Dashboard_Values!B185</x:f>
        <x:v>0</x:v>
      </x:c>
      <x:c r="D184" s="6" t="str">
        <x:f>IFERROR(VLOOKUP(C184,Metric_Dictionary!$A:$I,3,FALSE),"")</x:f>
      </x:c>
      <x:c r="E184" s="6" t="n">
        <x:f>Dashboard_Values!C185</x:f>
        <x:v>0</x:v>
      </x:c>
      <x:c r="F184" s="6" t="str">
        <x:f>IFERROR(VLOOKUP(C184,Metric_Dictionary!$A:$I,8,FALSE),"")</x:f>
      </x:c>
      <x:c r="G184" s="6" t="str">
        <x:f>IFERROR(VLOOKUP(C184,Metric_Dictionary!$A:$I,4,FALSE),"")</x:f>
      </x:c>
      <x:c r="H184" s="6" t="str">
        <x:f>IFERROR(VLOOKUP(C184,Metric_Dictionary!$A:$I,9,FALSE),"")</x:f>
      </x:c>
      <x:c r="I184" s="6" t="str">
        <x:f>IFERROR(VLOOKUP(C184,Metric_Dictionary!$A:$I,5,FALSE),"")</x:f>
      </x:c>
      <x:c r="J184" s="6" t="str">
        <x:f>IFERROR(VLOOKUP(C184,Metric_Dictionary!$A:$I,6,FALSE),"")</x:f>
      </x:c>
      <x:c r="K184" s="6" t="str">
        <x:f>IFERROR(VLOOKUP(C184,Metric_Dictionary!$A:$I,7,FALSE),"")</x:f>
      </x:c>
    </x:row>
    <x:row r="185" ht="15.75" customHeight="1">
      <x:c r="A185" s="8" t="n">
        <x:f>Dashboard_Values!A186</x:f>
        <x:v>0</x:v>
      </x:c>
      <x:c r="B185" s="6" t="str">
        <x:f>IFERROR(VLOOKUP(C185,Metric_Dictionary!$A:$I,2,FALSE),"")</x:f>
      </x:c>
      <x:c r="C185" s="6" t="n">
        <x:f>Dashboard_Values!B186</x:f>
        <x:v>0</x:v>
      </x:c>
      <x:c r="D185" s="6" t="str">
        <x:f>IFERROR(VLOOKUP(C185,Metric_Dictionary!$A:$I,3,FALSE),"")</x:f>
      </x:c>
      <x:c r="E185" s="6" t="n">
        <x:f>Dashboard_Values!C186</x:f>
        <x:v>0</x:v>
      </x:c>
      <x:c r="F185" s="6" t="str">
        <x:f>IFERROR(VLOOKUP(C185,Metric_Dictionary!$A:$I,8,FALSE),"")</x:f>
      </x:c>
      <x:c r="G185" s="6" t="str">
        <x:f>IFERROR(VLOOKUP(C185,Metric_Dictionary!$A:$I,4,FALSE),"")</x:f>
      </x:c>
      <x:c r="H185" s="6" t="str">
        <x:f>IFERROR(VLOOKUP(C185,Metric_Dictionary!$A:$I,9,FALSE),"")</x:f>
      </x:c>
      <x:c r="I185" s="6" t="str">
        <x:f>IFERROR(VLOOKUP(C185,Metric_Dictionary!$A:$I,5,FALSE),"")</x:f>
      </x:c>
      <x:c r="J185" s="6" t="str">
        <x:f>IFERROR(VLOOKUP(C185,Metric_Dictionary!$A:$I,6,FALSE),"")</x:f>
      </x:c>
      <x:c r="K185" s="6" t="str">
        <x:f>IFERROR(VLOOKUP(C185,Metric_Dictionary!$A:$I,7,FALSE),"")</x:f>
      </x:c>
    </x:row>
    <x:row r="186" ht="15.75" customHeight="1">
      <x:c r="A186" s="8" t="n">
        <x:f>Dashboard_Values!A187</x:f>
        <x:v>0</x:v>
      </x:c>
      <x:c r="B186" s="6" t="str">
        <x:f>IFERROR(VLOOKUP(C186,Metric_Dictionary!$A:$I,2,FALSE),"")</x:f>
      </x:c>
      <x:c r="C186" s="6" t="n">
        <x:f>Dashboard_Values!B187</x:f>
        <x:v>0</x:v>
      </x:c>
      <x:c r="D186" s="6" t="str">
        <x:f>IFERROR(VLOOKUP(C186,Metric_Dictionary!$A:$I,3,FALSE),"")</x:f>
      </x:c>
      <x:c r="E186" s="6" t="n">
        <x:f>Dashboard_Values!C187</x:f>
        <x:v>0</x:v>
      </x:c>
      <x:c r="F186" s="6" t="str">
        <x:f>IFERROR(VLOOKUP(C186,Metric_Dictionary!$A:$I,8,FALSE),"")</x:f>
      </x:c>
      <x:c r="G186" s="6" t="str">
        <x:f>IFERROR(VLOOKUP(C186,Metric_Dictionary!$A:$I,4,FALSE),"")</x:f>
      </x:c>
      <x:c r="H186" s="6" t="str">
        <x:f>IFERROR(VLOOKUP(C186,Metric_Dictionary!$A:$I,9,FALSE),"")</x:f>
      </x:c>
      <x:c r="I186" s="6" t="str">
        <x:f>IFERROR(VLOOKUP(C186,Metric_Dictionary!$A:$I,5,FALSE),"")</x:f>
      </x:c>
      <x:c r="J186" s="6" t="str">
        <x:f>IFERROR(VLOOKUP(C186,Metric_Dictionary!$A:$I,6,FALSE),"")</x:f>
      </x:c>
      <x:c r="K186" s="6" t="str">
        <x:f>IFERROR(VLOOKUP(C186,Metric_Dictionary!$A:$I,7,FALSE),"")</x:f>
      </x:c>
    </x:row>
    <x:row r="187" ht="15.75" customHeight="1">
      <x:c r="A187" s="8" t="n">
        <x:f>Dashboard_Values!A188</x:f>
        <x:v>0</x:v>
      </x:c>
      <x:c r="B187" s="6" t="str">
        <x:f>IFERROR(VLOOKUP(C187,Metric_Dictionary!$A:$I,2,FALSE),"")</x:f>
      </x:c>
      <x:c r="C187" s="6" t="n">
        <x:f>Dashboard_Values!B188</x:f>
        <x:v>0</x:v>
      </x:c>
      <x:c r="D187" s="6" t="str">
        <x:f>IFERROR(VLOOKUP(C187,Metric_Dictionary!$A:$I,3,FALSE),"")</x:f>
      </x:c>
      <x:c r="E187" s="6" t="n">
        <x:f>Dashboard_Values!C188</x:f>
        <x:v>0</x:v>
      </x:c>
      <x:c r="F187" s="6" t="str">
        <x:f>IFERROR(VLOOKUP(C187,Metric_Dictionary!$A:$I,8,FALSE),"")</x:f>
      </x:c>
      <x:c r="G187" s="6" t="str">
        <x:f>IFERROR(VLOOKUP(C187,Metric_Dictionary!$A:$I,4,FALSE),"")</x:f>
      </x:c>
      <x:c r="H187" s="6" t="str">
        <x:f>IFERROR(VLOOKUP(C187,Metric_Dictionary!$A:$I,9,FALSE),"")</x:f>
      </x:c>
      <x:c r="I187" s="6" t="str">
        <x:f>IFERROR(VLOOKUP(C187,Metric_Dictionary!$A:$I,5,FALSE),"")</x:f>
      </x:c>
      <x:c r="J187" s="6" t="str">
        <x:f>IFERROR(VLOOKUP(C187,Metric_Dictionary!$A:$I,6,FALSE),"")</x:f>
      </x:c>
      <x:c r="K187" s="6" t="str">
        <x:f>IFERROR(VLOOKUP(C187,Metric_Dictionary!$A:$I,7,FALSE),"")</x:f>
      </x:c>
    </x:row>
    <x:row r="188" ht="15.75" customHeight="1">
      <x:c r="A188" s="8" t="n">
        <x:f>Dashboard_Values!A189</x:f>
        <x:v>0</x:v>
      </x:c>
      <x:c r="B188" s="6" t="str">
        <x:f>IFERROR(VLOOKUP(C188,Metric_Dictionary!$A:$I,2,FALSE),"")</x:f>
      </x:c>
      <x:c r="C188" s="6" t="n">
        <x:f>Dashboard_Values!B189</x:f>
        <x:v>0</x:v>
      </x:c>
      <x:c r="D188" s="6" t="str">
        <x:f>IFERROR(VLOOKUP(C188,Metric_Dictionary!$A:$I,3,FALSE),"")</x:f>
      </x:c>
      <x:c r="E188" s="6" t="n">
        <x:f>Dashboard_Values!C189</x:f>
        <x:v>0</x:v>
      </x:c>
      <x:c r="F188" s="6" t="str">
        <x:f>IFERROR(VLOOKUP(C188,Metric_Dictionary!$A:$I,8,FALSE),"")</x:f>
      </x:c>
      <x:c r="G188" s="6" t="str">
        <x:f>IFERROR(VLOOKUP(C188,Metric_Dictionary!$A:$I,4,FALSE),"")</x:f>
      </x:c>
      <x:c r="H188" s="6" t="str">
        <x:f>IFERROR(VLOOKUP(C188,Metric_Dictionary!$A:$I,9,FALSE),"")</x:f>
      </x:c>
      <x:c r="I188" s="6" t="str">
        <x:f>IFERROR(VLOOKUP(C188,Metric_Dictionary!$A:$I,5,FALSE),"")</x:f>
      </x:c>
      <x:c r="J188" s="6" t="str">
        <x:f>IFERROR(VLOOKUP(C188,Metric_Dictionary!$A:$I,6,FALSE),"")</x:f>
      </x:c>
      <x:c r="K188" s="6" t="str">
        <x:f>IFERROR(VLOOKUP(C188,Metric_Dictionary!$A:$I,7,FALSE),"")</x:f>
      </x:c>
    </x:row>
    <x:row r="189" ht="15.75" customHeight="1">
      <x:c r="A189" s="8" t="n">
        <x:f>Dashboard_Values!A190</x:f>
        <x:v>0</x:v>
      </x:c>
      <x:c r="B189" s="6" t="str">
        <x:f>IFERROR(VLOOKUP(C189,Metric_Dictionary!$A:$I,2,FALSE),"")</x:f>
      </x:c>
      <x:c r="C189" s="6" t="n">
        <x:f>Dashboard_Values!B190</x:f>
        <x:v>0</x:v>
      </x:c>
      <x:c r="D189" s="6" t="str">
        <x:f>IFERROR(VLOOKUP(C189,Metric_Dictionary!$A:$I,3,FALSE),"")</x:f>
      </x:c>
      <x:c r="E189" s="6" t="n">
        <x:f>Dashboard_Values!C190</x:f>
        <x:v>0</x:v>
      </x:c>
      <x:c r="F189" s="6" t="str">
        <x:f>IFERROR(VLOOKUP(C189,Metric_Dictionary!$A:$I,8,FALSE),"")</x:f>
      </x:c>
      <x:c r="G189" s="6" t="str">
        <x:f>IFERROR(VLOOKUP(C189,Metric_Dictionary!$A:$I,4,FALSE),"")</x:f>
      </x:c>
      <x:c r="H189" s="6" t="str">
        <x:f>IFERROR(VLOOKUP(C189,Metric_Dictionary!$A:$I,9,FALSE),"")</x:f>
      </x:c>
      <x:c r="I189" s="6" t="str">
        <x:f>IFERROR(VLOOKUP(C189,Metric_Dictionary!$A:$I,5,FALSE),"")</x:f>
      </x:c>
      <x:c r="J189" s="6" t="str">
        <x:f>IFERROR(VLOOKUP(C189,Metric_Dictionary!$A:$I,6,FALSE),"")</x:f>
      </x:c>
      <x:c r="K189" s="6" t="str">
        <x:f>IFERROR(VLOOKUP(C189,Metric_Dictionary!$A:$I,7,FALSE),"")</x:f>
      </x:c>
    </x:row>
    <x:row r="190" ht="15.75" customHeight="1">
      <x:c r="A190" s="8" t="n">
        <x:f>Dashboard_Values!A191</x:f>
        <x:v>0</x:v>
      </x:c>
      <x:c r="B190" s="6" t="str">
        <x:f>IFERROR(VLOOKUP(C190,Metric_Dictionary!$A:$I,2,FALSE),"")</x:f>
      </x:c>
      <x:c r="C190" s="6" t="n">
        <x:f>Dashboard_Values!B191</x:f>
        <x:v>0</x:v>
      </x:c>
      <x:c r="D190" s="6" t="str">
        <x:f>IFERROR(VLOOKUP(C190,Metric_Dictionary!$A:$I,3,FALSE),"")</x:f>
      </x:c>
      <x:c r="E190" s="6" t="n">
        <x:f>Dashboard_Values!C191</x:f>
        <x:v>0</x:v>
      </x:c>
      <x:c r="F190" s="6" t="str">
        <x:f>IFERROR(VLOOKUP(C190,Metric_Dictionary!$A:$I,8,FALSE),"")</x:f>
      </x:c>
      <x:c r="G190" s="6" t="str">
        <x:f>IFERROR(VLOOKUP(C190,Metric_Dictionary!$A:$I,4,FALSE),"")</x:f>
      </x:c>
      <x:c r="H190" s="6" t="str">
        <x:f>IFERROR(VLOOKUP(C190,Metric_Dictionary!$A:$I,9,FALSE),"")</x:f>
      </x:c>
      <x:c r="I190" s="6" t="str">
        <x:f>IFERROR(VLOOKUP(C190,Metric_Dictionary!$A:$I,5,FALSE),"")</x:f>
      </x:c>
      <x:c r="J190" s="6" t="str">
        <x:f>IFERROR(VLOOKUP(C190,Metric_Dictionary!$A:$I,6,FALSE),"")</x:f>
      </x:c>
      <x:c r="K190" s="6" t="str">
        <x:f>IFERROR(VLOOKUP(C190,Metric_Dictionary!$A:$I,7,FALSE),"")</x:f>
      </x:c>
    </x:row>
    <x:row r="191" ht="15.75" customHeight="1">
      <x:c r="A191" s="8" t="n">
        <x:f>Dashboard_Values!A192</x:f>
        <x:v>0</x:v>
      </x:c>
      <x:c r="B191" s="6" t="str">
        <x:f>IFERROR(VLOOKUP(C191,Metric_Dictionary!$A:$I,2,FALSE),"")</x:f>
      </x:c>
      <x:c r="C191" s="6" t="n">
        <x:f>Dashboard_Values!B192</x:f>
        <x:v>0</x:v>
      </x:c>
      <x:c r="D191" s="6" t="str">
        <x:f>IFERROR(VLOOKUP(C191,Metric_Dictionary!$A:$I,3,FALSE),"")</x:f>
      </x:c>
      <x:c r="E191" s="6" t="n">
        <x:f>Dashboard_Values!C192</x:f>
        <x:v>0</x:v>
      </x:c>
      <x:c r="F191" s="6" t="str">
        <x:f>IFERROR(VLOOKUP(C191,Metric_Dictionary!$A:$I,8,FALSE),"")</x:f>
      </x:c>
      <x:c r="G191" s="6" t="str">
        <x:f>IFERROR(VLOOKUP(C191,Metric_Dictionary!$A:$I,4,FALSE),"")</x:f>
      </x:c>
      <x:c r="H191" s="6" t="str">
        <x:f>IFERROR(VLOOKUP(C191,Metric_Dictionary!$A:$I,9,FALSE),"")</x:f>
      </x:c>
      <x:c r="I191" s="6" t="str">
        <x:f>IFERROR(VLOOKUP(C191,Metric_Dictionary!$A:$I,5,FALSE),"")</x:f>
      </x:c>
      <x:c r="J191" s="6" t="str">
        <x:f>IFERROR(VLOOKUP(C191,Metric_Dictionary!$A:$I,6,FALSE),"")</x:f>
      </x:c>
      <x:c r="K191" s="6" t="str">
        <x:f>IFERROR(VLOOKUP(C191,Metric_Dictionary!$A:$I,7,FALSE),"")</x:f>
      </x:c>
    </x:row>
    <x:row r="192" ht="15.75" customHeight="1">
      <x:c r="A192" s="8" t="n">
        <x:f>Dashboard_Values!A193</x:f>
        <x:v>0</x:v>
      </x:c>
      <x:c r="B192" s="6" t="str">
        <x:f>IFERROR(VLOOKUP(C192,Metric_Dictionary!$A:$I,2,FALSE),"")</x:f>
      </x:c>
      <x:c r="C192" s="6" t="n">
        <x:f>Dashboard_Values!B193</x:f>
        <x:v>0</x:v>
      </x:c>
      <x:c r="D192" s="6" t="str">
        <x:f>IFERROR(VLOOKUP(C192,Metric_Dictionary!$A:$I,3,FALSE),"")</x:f>
      </x:c>
      <x:c r="E192" s="6" t="n">
        <x:f>Dashboard_Values!C193</x:f>
        <x:v>0</x:v>
      </x:c>
      <x:c r="F192" s="6" t="str">
        <x:f>IFERROR(VLOOKUP(C192,Metric_Dictionary!$A:$I,8,FALSE),"")</x:f>
      </x:c>
      <x:c r="G192" s="6" t="str">
        <x:f>IFERROR(VLOOKUP(C192,Metric_Dictionary!$A:$I,4,FALSE),"")</x:f>
      </x:c>
      <x:c r="H192" s="6" t="str">
        <x:f>IFERROR(VLOOKUP(C192,Metric_Dictionary!$A:$I,9,FALSE),"")</x:f>
      </x:c>
      <x:c r="I192" s="6" t="str">
        <x:f>IFERROR(VLOOKUP(C192,Metric_Dictionary!$A:$I,5,FALSE),"")</x:f>
      </x:c>
      <x:c r="J192" s="6" t="str">
        <x:f>IFERROR(VLOOKUP(C192,Metric_Dictionary!$A:$I,6,FALSE),"")</x:f>
      </x:c>
      <x:c r="K192" s="6" t="str">
        <x:f>IFERROR(VLOOKUP(C192,Metric_Dictionary!$A:$I,7,FALSE),"")</x:f>
      </x:c>
    </x:row>
    <x:row r="193" ht="15.75" customHeight="1">
      <x:c r="A193" s="8" t="n">
        <x:f>Dashboard_Values!A194</x:f>
        <x:v>0</x:v>
      </x:c>
      <x:c r="B193" s="6" t="str">
        <x:f>IFERROR(VLOOKUP(C193,Metric_Dictionary!$A:$I,2,FALSE),"")</x:f>
      </x:c>
      <x:c r="C193" s="6" t="n">
        <x:f>Dashboard_Values!B194</x:f>
        <x:v>0</x:v>
      </x:c>
      <x:c r="D193" s="6" t="str">
        <x:f>IFERROR(VLOOKUP(C193,Metric_Dictionary!$A:$I,3,FALSE),"")</x:f>
      </x:c>
      <x:c r="E193" s="6" t="n">
        <x:f>Dashboard_Values!C194</x:f>
        <x:v>0</x:v>
      </x:c>
      <x:c r="F193" s="6" t="str">
        <x:f>IFERROR(VLOOKUP(C193,Metric_Dictionary!$A:$I,8,FALSE),"")</x:f>
      </x:c>
      <x:c r="G193" s="6" t="str">
        <x:f>IFERROR(VLOOKUP(C193,Metric_Dictionary!$A:$I,4,FALSE),"")</x:f>
      </x:c>
      <x:c r="H193" s="6" t="str">
        <x:f>IFERROR(VLOOKUP(C193,Metric_Dictionary!$A:$I,9,FALSE),"")</x:f>
      </x:c>
      <x:c r="I193" s="6" t="str">
        <x:f>IFERROR(VLOOKUP(C193,Metric_Dictionary!$A:$I,5,FALSE),"")</x:f>
      </x:c>
      <x:c r="J193" s="6" t="str">
        <x:f>IFERROR(VLOOKUP(C193,Metric_Dictionary!$A:$I,6,FALSE),"")</x:f>
      </x:c>
      <x:c r="K193" s="6" t="str">
        <x:f>IFERROR(VLOOKUP(C193,Metric_Dictionary!$A:$I,7,FALSE),"")</x:f>
      </x:c>
    </x:row>
    <x:row r="194" ht="15.75" customHeight="1">
      <x:c r="A194" s="8" t="n">
        <x:f>Dashboard_Values!A195</x:f>
        <x:v>0</x:v>
      </x:c>
      <x:c r="B194" s="6" t="str">
        <x:f>IFERROR(VLOOKUP(C194,Metric_Dictionary!$A:$I,2,FALSE),"")</x:f>
      </x:c>
      <x:c r="C194" s="6" t="n">
        <x:f>Dashboard_Values!B195</x:f>
        <x:v>0</x:v>
      </x:c>
      <x:c r="D194" s="6" t="str">
        <x:f>IFERROR(VLOOKUP(C194,Metric_Dictionary!$A:$I,3,FALSE),"")</x:f>
      </x:c>
      <x:c r="E194" s="6" t="n">
        <x:f>Dashboard_Values!C195</x:f>
        <x:v>0</x:v>
      </x:c>
      <x:c r="F194" s="6" t="str">
        <x:f>IFERROR(VLOOKUP(C194,Metric_Dictionary!$A:$I,8,FALSE),"")</x:f>
      </x:c>
      <x:c r="G194" s="6" t="str">
        <x:f>IFERROR(VLOOKUP(C194,Metric_Dictionary!$A:$I,4,FALSE),"")</x:f>
      </x:c>
      <x:c r="H194" s="6" t="str">
        <x:f>IFERROR(VLOOKUP(C194,Metric_Dictionary!$A:$I,9,FALSE),"")</x:f>
      </x:c>
      <x:c r="I194" s="6" t="str">
        <x:f>IFERROR(VLOOKUP(C194,Metric_Dictionary!$A:$I,5,FALSE),"")</x:f>
      </x:c>
      <x:c r="J194" s="6" t="str">
        <x:f>IFERROR(VLOOKUP(C194,Metric_Dictionary!$A:$I,6,FALSE),"")</x:f>
      </x:c>
      <x:c r="K194" s="6" t="str">
        <x:f>IFERROR(VLOOKUP(C194,Metric_Dictionary!$A:$I,7,FALSE),"")</x:f>
      </x:c>
    </x:row>
    <x:row r="195" ht="15.75" customHeight="1">
      <x:c r="A195" s="8" t="n">
        <x:f>Dashboard_Values!A196</x:f>
        <x:v>0</x:v>
      </x:c>
      <x:c r="B195" s="6" t="str">
        <x:f>IFERROR(VLOOKUP(C195,Metric_Dictionary!$A:$I,2,FALSE),"")</x:f>
      </x:c>
      <x:c r="C195" s="6" t="n">
        <x:f>Dashboard_Values!B196</x:f>
        <x:v>0</x:v>
      </x:c>
      <x:c r="D195" s="6" t="str">
        <x:f>IFERROR(VLOOKUP(C195,Metric_Dictionary!$A:$I,3,FALSE),"")</x:f>
      </x:c>
      <x:c r="E195" s="6" t="n">
        <x:f>Dashboard_Values!C196</x:f>
        <x:v>0</x:v>
      </x:c>
      <x:c r="F195" s="6" t="str">
        <x:f>IFERROR(VLOOKUP(C195,Metric_Dictionary!$A:$I,8,FALSE),"")</x:f>
      </x:c>
      <x:c r="G195" s="6" t="str">
        <x:f>IFERROR(VLOOKUP(C195,Metric_Dictionary!$A:$I,4,FALSE),"")</x:f>
      </x:c>
      <x:c r="H195" s="6" t="str">
        <x:f>IFERROR(VLOOKUP(C195,Metric_Dictionary!$A:$I,9,FALSE),"")</x:f>
      </x:c>
      <x:c r="I195" s="6" t="str">
        <x:f>IFERROR(VLOOKUP(C195,Metric_Dictionary!$A:$I,5,FALSE),"")</x:f>
      </x:c>
      <x:c r="J195" s="6" t="str">
        <x:f>IFERROR(VLOOKUP(C195,Metric_Dictionary!$A:$I,6,FALSE),"")</x:f>
      </x:c>
      <x:c r="K195" s="6" t="str">
        <x:f>IFERROR(VLOOKUP(C195,Metric_Dictionary!$A:$I,7,FALSE),"")</x:f>
      </x:c>
    </x:row>
    <x:row r="196" ht="15.75" customHeight="1">
      <x:c r="A196" s="8" t="n">
        <x:f>Dashboard_Values!A197</x:f>
        <x:v>0</x:v>
      </x:c>
      <x:c r="B196" s="6" t="str">
        <x:f>IFERROR(VLOOKUP(C196,Metric_Dictionary!$A:$I,2,FALSE),"")</x:f>
      </x:c>
      <x:c r="C196" s="6" t="n">
        <x:f>Dashboard_Values!B197</x:f>
        <x:v>0</x:v>
      </x:c>
      <x:c r="D196" s="6" t="str">
        <x:f>IFERROR(VLOOKUP(C196,Metric_Dictionary!$A:$I,3,FALSE),"")</x:f>
      </x:c>
      <x:c r="E196" s="6" t="n">
        <x:f>Dashboard_Values!C197</x:f>
        <x:v>0</x:v>
      </x:c>
      <x:c r="F196" s="6" t="str">
        <x:f>IFERROR(VLOOKUP(C196,Metric_Dictionary!$A:$I,8,FALSE),"")</x:f>
      </x:c>
      <x:c r="G196" s="6" t="str">
        <x:f>IFERROR(VLOOKUP(C196,Metric_Dictionary!$A:$I,4,FALSE),"")</x:f>
      </x:c>
      <x:c r="H196" s="6" t="str">
        <x:f>IFERROR(VLOOKUP(C196,Metric_Dictionary!$A:$I,9,FALSE),"")</x:f>
      </x:c>
      <x:c r="I196" s="6" t="str">
        <x:f>IFERROR(VLOOKUP(C196,Metric_Dictionary!$A:$I,5,FALSE),"")</x:f>
      </x:c>
      <x:c r="J196" s="6" t="str">
        <x:f>IFERROR(VLOOKUP(C196,Metric_Dictionary!$A:$I,6,FALSE),"")</x:f>
      </x:c>
      <x:c r="K196" s="6" t="str">
        <x:f>IFERROR(VLOOKUP(C196,Metric_Dictionary!$A:$I,7,FALSE),"")</x:f>
      </x:c>
    </x:row>
    <x:row r="197" ht="15.75" customHeight="1">
      <x:c r="A197" s="8" t="n">
        <x:f>Dashboard_Values!A198</x:f>
        <x:v>0</x:v>
      </x:c>
      <x:c r="B197" s="6" t="str">
        <x:f>IFERROR(VLOOKUP(C197,Metric_Dictionary!$A:$I,2,FALSE),"")</x:f>
      </x:c>
      <x:c r="C197" s="6" t="n">
        <x:f>Dashboard_Values!B198</x:f>
        <x:v>0</x:v>
      </x:c>
      <x:c r="D197" s="6" t="str">
        <x:f>IFERROR(VLOOKUP(C197,Metric_Dictionary!$A:$I,3,FALSE),"")</x:f>
      </x:c>
      <x:c r="E197" s="6" t="n">
        <x:f>Dashboard_Values!C198</x:f>
        <x:v>0</x:v>
      </x:c>
      <x:c r="F197" s="6" t="str">
        <x:f>IFERROR(VLOOKUP(C197,Metric_Dictionary!$A:$I,8,FALSE),"")</x:f>
      </x:c>
      <x:c r="G197" s="6" t="str">
        <x:f>IFERROR(VLOOKUP(C197,Metric_Dictionary!$A:$I,4,FALSE),"")</x:f>
      </x:c>
      <x:c r="H197" s="6" t="str">
        <x:f>IFERROR(VLOOKUP(C197,Metric_Dictionary!$A:$I,9,FALSE),"")</x:f>
      </x:c>
      <x:c r="I197" s="6" t="str">
        <x:f>IFERROR(VLOOKUP(C197,Metric_Dictionary!$A:$I,5,FALSE),"")</x:f>
      </x:c>
      <x:c r="J197" s="6" t="str">
        <x:f>IFERROR(VLOOKUP(C197,Metric_Dictionary!$A:$I,6,FALSE),"")</x:f>
      </x:c>
      <x:c r="K197" s="6" t="str">
        <x:f>IFERROR(VLOOKUP(C197,Metric_Dictionary!$A:$I,7,FALSE),"")</x:f>
      </x:c>
    </x:row>
    <x:row r="198" ht="15.75" customHeight="1">
      <x:c r="A198" s="8" t="n">
        <x:f>Dashboard_Values!A199</x:f>
        <x:v>0</x:v>
      </x:c>
      <x:c r="B198" s="6" t="str">
        <x:f>IFERROR(VLOOKUP(C198,Metric_Dictionary!$A:$I,2,FALSE),"")</x:f>
      </x:c>
      <x:c r="C198" s="6" t="n">
        <x:f>Dashboard_Values!B199</x:f>
        <x:v>0</x:v>
      </x:c>
      <x:c r="D198" s="6" t="str">
        <x:f>IFERROR(VLOOKUP(C198,Metric_Dictionary!$A:$I,3,FALSE),"")</x:f>
      </x:c>
      <x:c r="E198" s="6" t="n">
        <x:f>Dashboard_Values!C199</x:f>
        <x:v>0</x:v>
      </x:c>
      <x:c r="F198" s="6" t="str">
        <x:f>IFERROR(VLOOKUP(C198,Metric_Dictionary!$A:$I,8,FALSE),"")</x:f>
      </x:c>
      <x:c r="G198" s="6" t="str">
        <x:f>IFERROR(VLOOKUP(C198,Metric_Dictionary!$A:$I,4,FALSE),"")</x:f>
      </x:c>
      <x:c r="H198" s="6" t="str">
        <x:f>IFERROR(VLOOKUP(C198,Metric_Dictionary!$A:$I,9,FALSE),"")</x:f>
      </x:c>
      <x:c r="I198" s="6" t="str">
        <x:f>IFERROR(VLOOKUP(C198,Metric_Dictionary!$A:$I,5,FALSE),"")</x:f>
      </x:c>
      <x:c r="J198" s="6" t="str">
        <x:f>IFERROR(VLOOKUP(C198,Metric_Dictionary!$A:$I,6,FALSE),"")</x:f>
      </x:c>
      <x:c r="K198" s="6" t="str">
        <x:f>IFERROR(VLOOKUP(C198,Metric_Dictionary!$A:$I,7,FALSE),"")</x:f>
      </x:c>
    </x:row>
    <x:row r="199" ht="15.75" customHeight="1">
      <x:c r="A199" s="8" t="n">
        <x:f>Dashboard_Values!A200</x:f>
        <x:v>0</x:v>
      </x:c>
      <x:c r="B199" s="6" t="str">
        <x:f>IFERROR(VLOOKUP(C199,Metric_Dictionary!$A:$I,2,FALSE),"")</x:f>
      </x:c>
      <x:c r="C199" s="6" t="n">
        <x:f>Dashboard_Values!B200</x:f>
        <x:v>0</x:v>
      </x:c>
      <x:c r="D199" s="6" t="str">
        <x:f>IFERROR(VLOOKUP(C199,Metric_Dictionary!$A:$I,3,FALSE),"")</x:f>
      </x:c>
      <x:c r="E199" s="6" t="n">
        <x:f>Dashboard_Values!C200</x:f>
        <x:v>0</x:v>
      </x:c>
      <x:c r="F199" s="6" t="str">
        <x:f>IFERROR(VLOOKUP(C199,Metric_Dictionary!$A:$I,8,FALSE),"")</x:f>
      </x:c>
      <x:c r="G199" s="6" t="str">
        <x:f>IFERROR(VLOOKUP(C199,Metric_Dictionary!$A:$I,4,FALSE),"")</x:f>
      </x:c>
      <x:c r="H199" s="6" t="str">
        <x:f>IFERROR(VLOOKUP(C199,Metric_Dictionary!$A:$I,9,FALSE),"")</x:f>
      </x:c>
      <x:c r="I199" s="6" t="str">
        <x:f>IFERROR(VLOOKUP(C199,Metric_Dictionary!$A:$I,5,FALSE),"")</x:f>
      </x:c>
      <x:c r="J199" s="6" t="str">
        <x:f>IFERROR(VLOOKUP(C199,Metric_Dictionary!$A:$I,6,FALSE),"")</x:f>
      </x:c>
      <x:c r="K199" s="6" t="str">
        <x:f>IFERROR(VLOOKUP(C199,Metric_Dictionary!$A:$I,7,FALSE),"")</x:f>
      </x:c>
    </x:row>
    <x:row r="200" ht="15.75" customHeight="1">
      <x:c r="A200" s="8" t="n">
        <x:f>Dashboard_Values!A201</x:f>
        <x:v>0</x:v>
      </x:c>
      <x:c r="B200" s="6" t="str">
        <x:f>IFERROR(VLOOKUP(C200,Metric_Dictionary!$A:$I,2,FALSE),"")</x:f>
      </x:c>
      <x:c r="C200" s="6" t="n">
        <x:f>Dashboard_Values!B201</x:f>
        <x:v>0</x:v>
      </x:c>
      <x:c r="D200" s="6" t="str">
        <x:f>IFERROR(VLOOKUP(C200,Metric_Dictionary!$A:$I,3,FALSE),"")</x:f>
      </x:c>
      <x:c r="E200" s="6" t="n">
        <x:f>Dashboard_Values!C201</x:f>
        <x:v>0</x:v>
      </x:c>
      <x:c r="F200" s="6" t="str">
        <x:f>IFERROR(VLOOKUP(C200,Metric_Dictionary!$A:$I,8,FALSE),"")</x:f>
      </x:c>
      <x:c r="G200" s="6" t="str">
        <x:f>IFERROR(VLOOKUP(C200,Metric_Dictionary!$A:$I,4,FALSE),"")</x:f>
      </x:c>
      <x:c r="H200" s="6" t="str">
        <x:f>IFERROR(VLOOKUP(C200,Metric_Dictionary!$A:$I,9,FALSE),"")</x:f>
      </x:c>
      <x:c r="I200" s="6" t="str">
        <x:f>IFERROR(VLOOKUP(C200,Metric_Dictionary!$A:$I,5,FALSE),"")</x:f>
      </x:c>
      <x:c r="J200" s="6" t="str">
        <x:f>IFERROR(VLOOKUP(C200,Metric_Dictionary!$A:$I,6,FALSE),"")</x:f>
      </x:c>
      <x:c r="K200" s="6" t="str">
        <x:f>IFERROR(VLOOKUP(C200,Metric_Dictionary!$A:$I,7,FALSE),"")</x:f>
      </x:c>
    </x:row>
    <x:row r="201" ht="15.75" customHeight="1">
      <x:c r="A201" s="8" t="n">
        <x:f>Dashboard_Values!A202</x:f>
        <x:v>0</x:v>
      </x:c>
      <x:c r="B201" s="6" t="str">
        <x:f>IFERROR(VLOOKUP(C201,Metric_Dictionary!$A:$I,2,FALSE),"")</x:f>
      </x:c>
      <x:c r="C201" s="6" t="n">
        <x:f>Dashboard_Values!B202</x:f>
        <x:v>0</x:v>
      </x:c>
      <x:c r="D201" s="6" t="str">
        <x:f>IFERROR(VLOOKUP(C201,Metric_Dictionary!$A:$I,3,FALSE),"")</x:f>
      </x:c>
      <x:c r="E201" s="6" t="n">
        <x:f>Dashboard_Values!C202</x:f>
        <x:v>0</x:v>
      </x:c>
      <x:c r="F201" s="6" t="str">
        <x:f>IFERROR(VLOOKUP(C201,Metric_Dictionary!$A:$I,8,FALSE),"")</x:f>
      </x:c>
      <x:c r="G201" s="6" t="str">
        <x:f>IFERROR(VLOOKUP(C201,Metric_Dictionary!$A:$I,4,FALSE),"")</x:f>
      </x:c>
      <x:c r="H201" s="6" t="str">
        <x:f>IFERROR(VLOOKUP(C201,Metric_Dictionary!$A:$I,9,FALSE),"")</x:f>
      </x:c>
      <x:c r="I201" s="6" t="str">
        <x:f>IFERROR(VLOOKUP(C201,Metric_Dictionary!$A:$I,5,FALSE),"")</x:f>
      </x:c>
      <x:c r="J201" s="6" t="str">
        <x:f>IFERROR(VLOOKUP(C201,Metric_Dictionary!$A:$I,6,FALSE),"")</x:f>
      </x:c>
      <x:c r="K201" s="6" t="str">
        <x:f>IFERROR(VLOOKUP(C201,Metric_Dictionary!$A:$I,7,FALSE),"")</x:f>
      </x:c>
    </x:row>
    <x:row r="202" ht="15.75" customHeight="1">
      <x:c r="A202" s="8" t="n">
        <x:f>Dashboard_Values!A203</x:f>
        <x:v>0</x:v>
      </x:c>
      <x:c r="B202" s="6" t="str">
        <x:f>IFERROR(VLOOKUP(C202,Metric_Dictionary!$A:$I,2,FALSE),"")</x:f>
      </x:c>
      <x:c r="C202" s="6" t="n">
        <x:f>Dashboard_Values!B203</x:f>
        <x:v>0</x:v>
      </x:c>
      <x:c r="D202" s="6" t="str">
        <x:f>IFERROR(VLOOKUP(C202,Metric_Dictionary!$A:$I,3,FALSE),"")</x:f>
      </x:c>
      <x:c r="E202" s="6" t="n">
        <x:f>Dashboard_Values!C203</x:f>
        <x:v>0</x:v>
      </x:c>
      <x:c r="F202" s="6" t="str">
        <x:f>IFERROR(VLOOKUP(C202,Metric_Dictionary!$A:$I,8,FALSE),"")</x:f>
      </x:c>
      <x:c r="G202" s="6" t="str">
        <x:f>IFERROR(VLOOKUP(C202,Metric_Dictionary!$A:$I,4,FALSE),"")</x:f>
      </x:c>
      <x:c r="H202" s="6" t="str">
        <x:f>IFERROR(VLOOKUP(C202,Metric_Dictionary!$A:$I,9,FALSE),"")</x:f>
      </x:c>
      <x:c r="I202" s="6" t="str">
        <x:f>IFERROR(VLOOKUP(C202,Metric_Dictionary!$A:$I,5,FALSE),"")</x:f>
      </x:c>
      <x:c r="J202" s="6" t="str">
        <x:f>IFERROR(VLOOKUP(C202,Metric_Dictionary!$A:$I,6,FALSE),"")</x:f>
      </x:c>
      <x:c r="K202" s="6" t="str">
        <x:f>IFERROR(VLOOKUP(C202,Metric_Dictionary!$A:$I,7,FALSE),"")</x:f>
      </x:c>
    </x:row>
    <x:row r="203" ht="15.75" customHeight="1">
      <x:c r="A203" s="8" t="n">
        <x:f>Dashboard_Values!A204</x:f>
        <x:v>0</x:v>
      </x:c>
      <x:c r="B203" s="6" t="str">
        <x:f>IFERROR(VLOOKUP(C203,Metric_Dictionary!$A:$I,2,FALSE),"")</x:f>
      </x:c>
      <x:c r="C203" s="6" t="n">
        <x:f>Dashboard_Values!B204</x:f>
        <x:v>0</x:v>
      </x:c>
      <x:c r="D203" s="6" t="str">
        <x:f>IFERROR(VLOOKUP(C203,Metric_Dictionary!$A:$I,3,FALSE),"")</x:f>
      </x:c>
      <x:c r="E203" s="6" t="n">
        <x:f>Dashboard_Values!C204</x:f>
        <x:v>0</x:v>
      </x:c>
      <x:c r="F203" s="6" t="str">
        <x:f>IFERROR(VLOOKUP(C203,Metric_Dictionary!$A:$I,8,FALSE),"")</x:f>
      </x:c>
      <x:c r="G203" s="6" t="str">
        <x:f>IFERROR(VLOOKUP(C203,Metric_Dictionary!$A:$I,4,FALSE),"")</x:f>
      </x:c>
      <x:c r="H203" s="6" t="str">
        <x:f>IFERROR(VLOOKUP(C203,Metric_Dictionary!$A:$I,9,FALSE),"")</x:f>
      </x:c>
      <x:c r="I203" s="6" t="str">
        <x:f>IFERROR(VLOOKUP(C203,Metric_Dictionary!$A:$I,5,FALSE),"")</x:f>
      </x:c>
      <x:c r="J203" s="6" t="str">
        <x:f>IFERROR(VLOOKUP(C203,Metric_Dictionary!$A:$I,6,FALSE),"")</x:f>
      </x:c>
      <x:c r="K203" s="6" t="str">
        <x:f>IFERROR(VLOOKUP(C203,Metric_Dictionary!$A:$I,7,FALSE),"")</x:f>
      </x:c>
    </x:row>
    <x:row r="204" ht="15.75" customHeight="1">
      <x:c r="A204" s="8" t="n">
        <x:f>Dashboard_Values!A205</x:f>
        <x:v>0</x:v>
      </x:c>
      <x:c r="B204" s="6" t="str">
        <x:f>IFERROR(VLOOKUP(C204,Metric_Dictionary!$A:$I,2,FALSE),"")</x:f>
      </x:c>
      <x:c r="C204" s="6" t="n">
        <x:f>Dashboard_Values!B205</x:f>
        <x:v>0</x:v>
      </x:c>
      <x:c r="D204" s="6" t="str">
        <x:f>IFERROR(VLOOKUP(C204,Metric_Dictionary!$A:$I,3,FALSE),"")</x:f>
      </x:c>
      <x:c r="E204" s="6" t="n">
        <x:f>Dashboard_Values!C205</x:f>
        <x:v>0</x:v>
      </x:c>
      <x:c r="F204" s="6" t="str">
        <x:f>IFERROR(VLOOKUP(C204,Metric_Dictionary!$A:$I,8,FALSE),"")</x:f>
      </x:c>
      <x:c r="G204" s="6" t="str">
        <x:f>IFERROR(VLOOKUP(C204,Metric_Dictionary!$A:$I,4,FALSE),"")</x:f>
      </x:c>
      <x:c r="H204" s="6" t="str">
        <x:f>IFERROR(VLOOKUP(C204,Metric_Dictionary!$A:$I,9,FALSE),"")</x:f>
      </x:c>
      <x:c r="I204" s="6" t="str">
        <x:f>IFERROR(VLOOKUP(C204,Metric_Dictionary!$A:$I,5,FALSE),"")</x:f>
      </x:c>
      <x:c r="J204" s="6" t="str">
        <x:f>IFERROR(VLOOKUP(C204,Metric_Dictionary!$A:$I,6,FALSE),"")</x:f>
      </x:c>
      <x:c r="K204" s="6" t="str">
        <x:f>IFERROR(VLOOKUP(C204,Metric_Dictionary!$A:$I,7,FALSE),"")</x:f>
      </x:c>
    </x:row>
    <x:row r="205" ht="15.75" customHeight="1">
      <x:c r="A205" s="8" t="n">
        <x:f>Dashboard_Values!A206</x:f>
        <x:v>0</x:v>
      </x:c>
      <x:c r="B205" s="6" t="str">
        <x:f>IFERROR(VLOOKUP(C205,Metric_Dictionary!$A:$I,2,FALSE),"")</x:f>
      </x:c>
      <x:c r="C205" s="6" t="n">
        <x:f>Dashboard_Values!B206</x:f>
        <x:v>0</x:v>
      </x:c>
      <x:c r="D205" s="6" t="str">
        <x:f>IFERROR(VLOOKUP(C205,Metric_Dictionary!$A:$I,3,FALSE),"")</x:f>
      </x:c>
      <x:c r="E205" s="6" t="n">
        <x:f>Dashboard_Values!C206</x:f>
        <x:v>0</x:v>
      </x:c>
      <x:c r="F205" s="6" t="str">
        <x:f>IFERROR(VLOOKUP(C205,Metric_Dictionary!$A:$I,8,FALSE),"")</x:f>
      </x:c>
      <x:c r="G205" s="6" t="str">
        <x:f>IFERROR(VLOOKUP(C205,Metric_Dictionary!$A:$I,4,FALSE),"")</x:f>
      </x:c>
      <x:c r="H205" s="6" t="str">
        <x:f>IFERROR(VLOOKUP(C205,Metric_Dictionary!$A:$I,9,FALSE),"")</x:f>
      </x:c>
      <x:c r="I205" s="6" t="str">
        <x:f>IFERROR(VLOOKUP(C205,Metric_Dictionary!$A:$I,5,FALSE),"")</x:f>
      </x:c>
      <x:c r="J205" s="6" t="str">
        <x:f>IFERROR(VLOOKUP(C205,Metric_Dictionary!$A:$I,6,FALSE),"")</x:f>
      </x:c>
      <x:c r="K205" s="6" t="str">
        <x:f>IFERROR(VLOOKUP(C205,Metric_Dictionary!$A:$I,7,FALSE),"")</x:f>
      </x:c>
    </x:row>
    <x:row r="206" ht="15.75" customHeight="1">
      <x:c r="A206" s="8" t="n">
        <x:f>Dashboard_Values!A207</x:f>
        <x:v>0</x:v>
      </x:c>
      <x:c r="B206" s="6" t="str">
        <x:f>IFERROR(VLOOKUP(C206,Metric_Dictionary!$A:$I,2,FALSE),"")</x:f>
      </x:c>
      <x:c r="C206" s="6" t="n">
        <x:f>Dashboard_Values!B207</x:f>
        <x:v>0</x:v>
      </x:c>
      <x:c r="D206" s="6" t="str">
        <x:f>IFERROR(VLOOKUP(C206,Metric_Dictionary!$A:$I,3,FALSE),"")</x:f>
      </x:c>
      <x:c r="E206" s="6" t="n">
        <x:f>Dashboard_Values!C207</x:f>
        <x:v>0</x:v>
      </x:c>
      <x:c r="F206" s="6" t="str">
        <x:f>IFERROR(VLOOKUP(C206,Metric_Dictionary!$A:$I,8,FALSE),"")</x:f>
      </x:c>
      <x:c r="G206" s="6" t="str">
        <x:f>IFERROR(VLOOKUP(C206,Metric_Dictionary!$A:$I,4,FALSE),"")</x:f>
      </x:c>
      <x:c r="H206" s="6" t="str">
        <x:f>IFERROR(VLOOKUP(C206,Metric_Dictionary!$A:$I,9,FALSE),"")</x:f>
      </x:c>
      <x:c r="I206" s="6" t="str">
        <x:f>IFERROR(VLOOKUP(C206,Metric_Dictionary!$A:$I,5,FALSE),"")</x:f>
      </x:c>
      <x:c r="J206" s="6" t="str">
        <x:f>IFERROR(VLOOKUP(C206,Metric_Dictionary!$A:$I,6,FALSE),"")</x:f>
      </x:c>
      <x:c r="K206" s="6" t="str">
        <x:f>IFERROR(VLOOKUP(C206,Metric_Dictionary!$A:$I,7,FALSE),"")</x:f>
      </x:c>
    </x:row>
    <x:row r="207" ht="15.75" customHeight="1">
      <x:c r="A207" s="8" t="n">
        <x:f>Dashboard_Values!A208</x:f>
        <x:v>0</x:v>
      </x:c>
      <x:c r="B207" s="6" t="str">
        <x:f>IFERROR(VLOOKUP(C207,Metric_Dictionary!$A:$I,2,FALSE),"")</x:f>
      </x:c>
      <x:c r="C207" s="6" t="n">
        <x:f>Dashboard_Values!B208</x:f>
        <x:v>0</x:v>
      </x:c>
      <x:c r="D207" s="6" t="str">
        <x:f>IFERROR(VLOOKUP(C207,Metric_Dictionary!$A:$I,3,FALSE),"")</x:f>
      </x:c>
      <x:c r="E207" s="6" t="n">
        <x:f>Dashboard_Values!C208</x:f>
        <x:v>0</x:v>
      </x:c>
      <x:c r="F207" s="6" t="str">
        <x:f>IFERROR(VLOOKUP(C207,Metric_Dictionary!$A:$I,8,FALSE),"")</x:f>
      </x:c>
      <x:c r="G207" s="6" t="str">
        <x:f>IFERROR(VLOOKUP(C207,Metric_Dictionary!$A:$I,4,FALSE),"")</x:f>
      </x:c>
      <x:c r="H207" s="6" t="str">
        <x:f>IFERROR(VLOOKUP(C207,Metric_Dictionary!$A:$I,9,FALSE),"")</x:f>
      </x:c>
      <x:c r="I207" s="6" t="str">
        <x:f>IFERROR(VLOOKUP(C207,Metric_Dictionary!$A:$I,5,FALSE),"")</x:f>
      </x:c>
      <x:c r="J207" s="6" t="str">
        <x:f>IFERROR(VLOOKUP(C207,Metric_Dictionary!$A:$I,6,FALSE),"")</x:f>
      </x:c>
      <x:c r="K207" s="6" t="str">
        <x:f>IFERROR(VLOOKUP(C207,Metric_Dictionary!$A:$I,7,FALSE),"")</x:f>
      </x:c>
    </x:row>
    <x:row r="208" ht="15.75" customHeight="1">
      <x:c r="A208" s="8" t="n">
        <x:f>Dashboard_Values!A209</x:f>
        <x:v>0</x:v>
      </x:c>
      <x:c r="B208" s="6" t="str">
        <x:f>IFERROR(VLOOKUP(C208,Metric_Dictionary!$A:$I,2,FALSE),"")</x:f>
      </x:c>
      <x:c r="C208" s="6" t="n">
        <x:f>Dashboard_Values!B209</x:f>
        <x:v>0</x:v>
      </x:c>
      <x:c r="D208" s="6" t="str">
        <x:f>IFERROR(VLOOKUP(C208,Metric_Dictionary!$A:$I,3,FALSE),"")</x:f>
      </x:c>
      <x:c r="E208" s="6" t="n">
        <x:f>Dashboard_Values!C209</x:f>
        <x:v>0</x:v>
      </x:c>
      <x:c r="F208" s="6" t="str">
        <x:f>IFERROR(VLOOKUP(C208,Metric_Dictionary!$A:$I,8,FALSE),"")</x:f>
      </x:c>
      <x:c r="G208" s="6" t="str">
        <x:f>IFERROR(VLOOKUP(C208,Metric_Dictionary!$A:$I,4,FALSE),"")</x:f>
      </x:c>
      <x:c r="H208" s="6" t="str">
        <x:f>IFERROR(VLOOKUP(C208,Metric_Dictionary!$A:$I,9,FALSE),"")</x:f>
      </x:c>
      <x:c r="I208" s="6" t="str">
        <x:f>IFERROR(VLOOKUP(C208,Metric_Dictionary!$A:$I,5,FALSE),"")</x:f>
      </x:c>
      <x:c r="J208" s="6" t="str">
        <x:f>IFERROR(VLOOKUP(C208,Metric_Dictionary!$A:$I,6,FALSE),"")</x:f>
      </x:c>
      <x:c r="K208" s="6" t="str">
        <x:f>IFERROR(VLOOKUP(C208,Metric_Dictionary!$A:$I,7,FALSE),"")</x:f>
      </x:c>
    </x:row>
    <x:row r="209" ht="15.75" customHeight="1">
      <x:c r="A209" s="8" t="n">
        <x:f>Dashboard_Values!A210</x:f>
        <x:v>0</x:v>
      </x:c>
      <x:c r="B209" s="6" t="str">
        <x:f>IFERROR(VLOOKUP(C209,Metric_Dictionary!$A:$I,2,FALSE),"")</x:f>
      </x:c>
      <x:c r="C209" s="6" t="n">
        <x:f>Dashboard_Values!B210</x:f>
        <x:v>0</x:v>
      </x:c>
      <x:c r="D209" s="6" t="str">
        <x:f>IFERROR(VLOOKUP(C209,Metric_Dictionary!$A:$I,3,FALSE),"")</x:f>
      </x:c>
      <x:c r="E209" s="6" t="n">
        <x:f>Dashboard_Values!C210</x:f>
        <x:v>0</x:v>
      </x:c>
      <x:c r="F209" s="6" t="str">
        <x:f>IFERROR(VLOOKUP(C209,Metric_Dictionary!$A:$I,8,FALSE),"")</x:f>
      </x:c>
      <x:c r="G209" s="6" t="str">
        <x:f>IFERROR(VLOOKUP(C209,Metric_Dictionary!$A:$I,4,FALSE),"")</x:f>
      </x:c>
      <x:c r="H209" s="6" t="str">
        <x:f>IFERROR(VLOOKUP(C209,Metric_Dictionary!$A:$I,9,FALSE),"")</x:f>
      </x:c>
      <x:c r="I209" s="6" t="str">
        <x:f>IFERROR(VLOOKUP(C209,Metric_Dictionary!$A:$I,5,FALSE),"")</x:f>
      </x:c>
      <x:c r="J209" s="6" t="str">
        <x:f>IFERROR(VLOOKUP(C209,Metric_Dictionary!$A:$I,6,FALSE),"")</x:f>
      </x:c>
      <x:c r="K209" s="6" t="str">
        <x:f>IFERROR(VLOOKUP(C209,Metric_Dictionary!$A:$I,7,FALSE),"")</x:f>
      </x:c>
    </x:row>
    <x:row r="210" ht="15.75" customHeight="1">
      <x:c r="A210" s="8" t="n">
        <x:f>Dashboard_Values!A211</x:f>
        <x:v>0</x:v>
      </x:c>
      <x:c r="B210" s="6" t="str">
        <x:f>IFERROR(VLOOKUP(C210,Metric_Dictionary!$A:$I,2,FALSE),"")</x:f>
      </x:c>
      <x:c r="C210" s="6" t="n">
        <x:f>Dashboard_Values!B211</x:f>
        <x:v>0</x:v>
      </x:c>
      <x:c r="D210" s="6" t="str">
        <x:f>IFERROR(VLOOKUP(C210,Metric_Dictionary!$A:$I,3,FALSE),"")</x:f>
      </x:c>
      <x:c r="E210" s="6" t="n">
        <x:f>Dashboard_Values!C211</x:f>
        <x:v>0</x:v>
      </x:c>
      <x:c r="F210" s="6" t="str">
        <x:f>IFERROR(VLOOKUP(C210,Metric_Dictionary!$A:$I,8,FALSE),"")</x:f>
      </x:c>
      <x:c r="G210" s="6" t="str">
        <x:f>IFERROR(VLOOKUP(C210,Metric_Dictionary!$A:$I,4,FALSE),"")</x:f>
      </x:c>
      <x:c r="H210" s="6" t="str">
        <x:f>IFERROR(VLOOKUP(C210,Metric_Dictionary!$A:$I,9,FALSE),"")</x:f>
      </x:c>
      <x:c r="I210" s="6" t="str">
        <x:f>IFERROR(VLOOKUP(C210,Metric_Dictionary!$A:$I,5,FALSE),"")</x:f>
      </x:c>
      <x:c r="J210" s="6" t="str">
        <x:f>IFERROR(VLOOKUP(C210,Metric_Dictionary!$A:$I,6,FALSE),"")</x:f>
      </x:c>
      <x:c r="K210" s="6" t="str">
        <x:f>IFERROR(VLOOKUP(C210,Metric_Dictionary!$A:$I,7,FALSE),"")</x:f>
      </x:c>
    </x:row>
    <x:row r="211" ht="15.75" customHeight="1">
      <x:c r="A211" s="8" t="n">
        <x:f>Dashboard_Values!A212</x:f>
        <x:v>0</x:v>
      </x:c>
      <x:c r="B211" s="6" t="str">
        <x:f>IFERROR(VLOOKUP(C211,Metric_Dictionary!$A:$I,2,FALSE),"")</x:f>
      </x:c>
      <x:c r="C211" s="6" t="n">
        <x:f>Dashboard_Values!B212</x:f>
        <x:v>0</x:v>
      </x:c>
      <x:c r="D211" s="6" t="str">
        <x:f>IFERROR(VLOOKUP(C211,Metric_Dictionary!$A:$I,3,FALSE),"")</x:f>
      </x:c>
      <x:c r="E211" s="6" t="n">
        <x:f>Dashboard_Values!C212</x:f>
        <x:v>0</x:v>
      </x:c>
      <x:c r="F211" s="6" t="str">
        <x:f>IFERROR(VLOOKUP(C211,Metric_Dictionary!$A:$I,8,FALSE),"")</x:f>
      </x:c>
      <x:c r="G211" s="6" t="str">
        <x:f>IFERROR(VLOOKUP(C211,Metric_Dictionary!$A:$I,4,FALSE),"")</x:f>
      </x:c>
      <x:c r="H211" s="6" t="str">
        <x:f>IFERROR(VLOOKUP(C211,Metric_Dictionary!$A:$I,9,FALSE),"")</x:f>
      </x:c>
      <x:c r="I211" s="6" t="str">
        <x:f>IFERROR(VLOOKUP(C211,Metric_Dictionary!$A:$I,5,FALSE),"")</x:f>
      </x:c>
      <x:c r="J211" s="6" t="str">
        <x:f>IFERROR(VLOOKUP(C211,Metric_Dictionary!$A:$I,6,FALSE),"")</x:f>
      </x:c>
      <x:c r="K211" s="6" t="str">
        <x:f>IFERROR(VLOOKUP(C211,Metric_Dictionary!$A:$I,7,FALSE),"")</x:f>
      </x:c>
    </x:row>
    <x:row r="212" ht="15.75" customHeight="1">
      <x:c r="A212" s="8" t="n">
        <x:f>Dashboard_Values!A213</x:f>
        <x:v>0</x:v>
      </x:c>
      <x:c r="B212" s="6" t="str">
        <x:f>IFERROR(VLOOKUP(C212,Metric_Dictionary!$A:$I,2,FALSE),"")</x:f>
      </x:c>
      <x:c r="C212" s="6" t="n">
        <x:f>Dashboard_Values!B213</x:f>
        <x:v>0</x:v>
      </x:c>
      <x:c r="D212" s="6" t="str">
        <x:f>IFERROR(VLOOKUP(C212,Metric_Dictionary!$A:$I,3,FALSE),"")</x:f>
      </x:c>
      <x:c r="E212" s="6" t="n">
        <x:f>Dashboard_Values!C213</x:f>
        <x:v>0</x:v>
      </x:c>
      <x:c r="F212" s="6" t="str">
        <x:f>IFERROR(VLOOKUP(C212,Metric_Dictionary!$A:$I,8,FALSE),"")</x:f>
      </x:c>
      <x:c r="G212" s="6" t="str">
        <x:f>IFERROR(VLOOKUP(C212,Metric_Dictionary!$A:$I,4,FALSE),"")</x:f>
      </x:c>
      <x:c r="H212" s="6" t="str">
        <x:f>IFERROR(VLOOKUP(C212,Metric_Dictionary!$A:$I,9,FALSE),"")</x:f>
      </x:c>
      <x:c r="I212" s="6" t="str">
        <x:f>IFERROR(VLOOKUP(C212,Metric_Dictionary!$A:$I,5,FALSE),"")</x:f>
      </x:c>
      <x:c r="J212" s="6" t="str">
        <x:f>IFERROR(VLOOKUP(C212,Metric_Dictionary!$A:$I,6,FALSE),"")</x:f>
      </x:c>
      <x:c r="K212" s="6" t="str">
        <x:f>IFERROR(VLOOKUP(C212,Metric_Dictionary!$A:$I,7,FALSE),"")</x:f>
      </x:c>
    </x:row>
    <x:row r="213" ht="15.75" customHeight="1">
      <x:c r="A213" s="8" t="n">
        <x:f>Dashboard_Values!A214</x:f>
        <x:v>0</x:v>
      </x:c>
      <x:c r="B213" s="6" t="str">
        <x:f>IFERROR(VLOOKUP(C213,Metric_Dictionary!$A:$I,2,FALSE),"")</x:f>
      </x:c>
      <x:c r="C213" s="6" t="n">
        <x:f>Dashboard_Values!B214</x:f>
        <x:v>0</x:v>
      </x:c>
      <x:c r="D213" s="6" t="str">
        <x:f>IFERROR(VLOOKUP(C213,Metric_Dictionary!$A:$I,3,FALSE),"")</x:f>
      </x:c>
      <x:c r="E213" s="6" t="n">
        <x:f>Dashboard_Values!C214</x:f>
        <x:v>0</x:v>
      </x:c>
      <x:c r="F213" s="6" t="str">
        <x:f>IFERROR(VLOOKUP(C213,Metric_Dictionary!$A:$I,8,FALSE),"")</x:f>
      </x:c>
      <x:c r="G213" s="6" t="str">
        <x:f>IFERROR(VLOOKUP(C213,Metric_Dictionary!$A:$I,4,FALSE),"")</x:f>
      </x:c>
      <x:c r="H213" s="6" t="str">
        <x:f>IFERROR(VLOOKUP(C213,Metric_Dictionary!$A:$I,9,FALSE),"")</x:f>
      </x:c>
      <x:c r="I213" s="6" t="str">
        <x:f>IFERROR(VLOOKUP(C213,Metric_Dictionary!$A:$I,5,FALSE),"")</x:f>
      </x:c>
      <x:c r="J213" s="6" t="str">
        <x:f>IFERROR(VLOOKUP(C213,Metric_Dictionary!$A:$I,6,FALSE),"")</x:f>
      </x:c>
      <x:c r="K213" s="6" t="str">
        <x:f>IFERROR(VLOOKUP(C213,Metric_Dictionary!$A:$I,7,FALSE),"")</x:f>
      </x:c>
    </x:row>
    <x:row r="214" ht="15.75" customHeight="1">
      <x:c r="A214" s="8" t="n">
        <x:f>Dashboard_Values!A215</x:f>
        <x:v>0</x:v>
      </x:c>
      <x:c r="B214" s="6" t="str">
        <x:f>IFERROR(VLOOKUP(C214,Metric_Dictionary!$A:$I,2,FALSE),"")</x:f>
      </x:c>
      <x:c r="C214" s="6" t="n">
        <x:f>Dashboard_Values!B215</x:f>
        <x:v>0</x:v>
      </x:c>
      <x:c r="D214" s="6" t="str">
        <x:f>IFERROR(VLOOKUP(C214,Metric_Dictionary!$A:$I,3,FALSE),"")</x:f>
      </x:c>
      <x:c r="E214" s="6" t="n">
        <x:f>Dashboard_Values!C215</x:f>
        <x:v>0</x:v>
      </x:c>
      <x:c r="F214" s="6" t="str">
        <x:f>IFERROR(VLOOKUP(C214,Metric_Dictionary!$A:$I,8,FALSE),"")</x:f>
      </x:c>
      <x:c r="G214" s="6" t="str">
        <x:f>IFERROR(VLOOKUP(C214,Metric_Dictionary!$A:$I,4,FALSE),"")</x:f>
      </x:c>
      <x:c r="H214" s="6" t="str">
        <x:f>IFERROR(VLOOKUP(C214,Metric_Dictionary!$A:$I,9,FALSE),"")</x:f>
      </x:c>
      <x:c r="I214" s="6" t="str">
        <x:f>IFERROR(VLOOKUP(C214,Metric_Dictionary!$A:$I,5,FALSE),"")</x:f>
      </x:c>
      <x:c r="J214" s="6" t="str">
        <x:f>IFERROR(VLOOKUP(C214,Metric_Dictionary!$A:$I,6,FALSE),"")</x:f>
      </x:c>
      <x:c r="K214" s="6" t="str">
        <x:f>IFERROR(VLOOKUP(C214,Metric_Dictionary!$A:$I,7,FALSE),"")</x:f>
      </x:c>
    </x:row>
    <x:row r="215" ht="15.75" customHeight="1">
      <x:c r="A215" s="8" t="n">
        <x:f>Dashboard_Values!A216</x:f>
        <x:v>0</x:v>
      </x:c>
      <x:c r="B215" s="6" t="str">
        <x:f>IFERROR(VLOOKUP(C215,Metric_Dictionary!$A:$I,2,FALSE),"")</x:f>
      </x:c>
      <x:c r="C215" s="6" t="n">
        <x:f>Dashboard_Values!B216</x:f>
        <x:v>0</x:v>
      </x:c>
      <x:c r="D215" s="6" t="str">
        <x:f>IFERROR(VLOOKUP(C215,Metric_Dictionary!$A:$I,3,FALSE),"")</x:f>
      </x:c>
      <x:c r="E215" s="6" t="n">
        <x:f>Dashboard_Values!C216</x:f>
        <x:v>0</x:v>
      </x:c>
      <x:c r="F215" s="6" t="str">
        <x:f>IFERROR(VLOOKUP(C215,Metric_Dictionary!$A:$I,8,FALSE),"")</x:f>
      </x:c>
      <x:c r="G215" s="6" t="str">
        <x:f>IFERROR(VLOOKUP(C215,Metric_Dictionary!$A:$I,4,FALSE),"")</x:f>
      </x:c>
      <x:c r="H215" s="6" t="str">
        <x:f>IFERROR(VLOOKUP(C215,Metric_Dictionary!$A:$I,9,FALSE),"")</x:f>
      </x:c>
      <x:c r="I215" s="6" t="str">
        <x:f>IFERROR(VLOOKUP(C215,Metric_Dictionary!$A:$I,5,FALSE),"")</x:f>
      </x:c>
      <x:c r="J215" s="6" t="str">
        <x:f>IFERROR(VLOOKUP(C215,Metric_Dictionary!$A:$I,6,FALSE),"")</x:f>
      </x:c>
      <x:c r="K215" s="6" t="str">
        <x:f>IFERROR(VLOOKUP(C215,Metric_Dictionary!$A:$I,7,FALSE),"")</x:f>
      </x:c>
    </x:row>
    <x:row r="216" ht="15.75" customHeight="1">
      <x:c r="A216" s="8" t="n">
        <x:f>Dashboard_Values!A217</x:f>
        <x:v>0</x:v>
      </x:c>
      <x:c r="B216" s="6" t="str">
        <x:f>IFERROR(VLOOKUP(C216,Metric_Dictionary!$A:$I,2,FALSE),"")</x:f>
      </x:c>
      <x:c r="C216" s="6" t="n">
        <x:f>Dashboard_Values!B217</x:f>
        <x:v>0</x:v>
      </x:c>
      <x:c r="D216" s="6" t="str">
        <x:f>IFERROR(VLOOKUP(C216,Metric_Dictionary!$A:$I,3,FALSE),"")</x:f>
      </x:c>
      <x:c r="E216" s="6" t="n">
        <x:f>Dashboard_Values!C217</x:f>
        <x:v>0</x:v>
      </x:c>
      <x:c r="F216" s="6" t="str">
        <x:f>IFERROR(VLOOKUP(C216,Metric_Dictionary!$A:$I,8,FALSE),"")</x:f>
      </x:c>
      <x:c r="G216" s="6" t="str">
        <x:f>IFERROR(VLOOKUP(C216,Metric_Dictionary!$A:$I,4,FALSE),"")</x:f>
      </x:c>
      <x:c r="H216" s="6" t="str">
        <x:f>IFERROR(VLOOKUP(C216,Metric_Dictionary!$A:$I,9,FALSE),"")</x:f>
      </x:c>
      <x:c r="I216" s="6" t="str">
        <x:f>IFERROR(VLOOKUP(C216,Metric_Dictionary!$A:$I,5,FALSE),"")</x:f>
      </x:c>
      <x:c r="J216" s="6" t="str">
        <x:f>IFERROR(VLOOKUP(C216,Metric_Dictionary!$A:$I,6,FALSE),"")</x:f>
      </x:c>
      <x:c r="K216" s="6" t="str">
        <x:f>IFERROR(VLOOKUP(C216,Metric_Dictionary!$A:$I,7,FALSE),"")</x:f>
      </x:c>
    </x:row>
    <x:row r="217" ht="15.75" customHeight="1">
      <x:c r="A217" s="8" t="n">
        <x:f>Dashboard_Values!A218</x:f>
        <x:v>0</x:v>
      </x:c>
      <x:c r="B217" s="6" t="str">
        <x:f>IFERROR(VLOOKUP(C217,Metric_Dictionary!$A:$I,2,FALSE),"")</x:f>
      </x:c>
      <x:c r="C217" s="6" t="n">
        <x:f>Dashboard_Values!B218</x:f>
        <x:v>0</x:v>
      </x:c>
      <x:c r="D217" s="6" t="str">
        <x:f>IFERROR(VLOOKUP(C217,Metric_Dictionary!$A:$I,3,FALSE),"")</x:f>
      </x:c>
      <x:c r="E217" s="6" t="n">
        <x:f>Dashboard_Values!C218</x:f>
        <x:v>0</x:v>
      </x:c>
      <x:c r="F217" s="6" t="str">
        <x:f>IFERROR(VLOOKUP(C217,Metric_Dictionary!$A:$I,8,FALSE),"")</x:f>
      </x:c>
      <x:c r="G217" s="6" t="str">
        <x:f>IFERROR(VLOOKUP(C217,Metric_Dictionary!$A:$I,4,FALSE),"")</x:f>
      </x:c>
      <x:c r="H217" s="6" t="str">
        <x:f>IFERROR(VLOOKUP(C217,Metric_Dictionary!$A:$I,9,FALSE),"")</x:f>
      </x:c>
      <x:c r="I217" s="6" t="str">
        <x:f>IFERROR(VLOOKUP(C217,Metric_Dictionary!$A:$I,5,FALSE),"")</x:f>
      </x:c>
      <x:c r="J217" s="6" t="str">
        <x:f>IFERROR(VLOOKUP(C217,Metric_Dictionary!$A:$I,6,FALSE),"")</x:f>
      </x:c>
      <x:c r="K217" s="6" t="str">
        <x:f>IFERROR(VLOOKUP(C217,Metric_Dictionary!$A:$I,7,FALSE),"")</x:f>
      </x:c>
    </x:row>
    <x:row r="218" ht="15.75" customHeight="1">
      <x:c r="A218" s="8" t="n">
        <x:f>Dashboard_Values!A219</x:f>
        <x:v>0</x:v>
      </x:c>
      <x:c r="B218" s="6" t="str">
        <x:f>IFERROR(VLOOKUP(C218,Metric_Dictionary!$A:$I,2,FALSE),"")</x:f>
      </x:c>
      <x:c r="C218" s="6" t="n">
        <x:f>Dashboard_Values!B219</x:f>
        <x:v>0</x:v>
      </x:c>
      <x:c r="D218" s="6" t="str">
        <x:f>IFERROR(VLOOKUP(C218,Metric_Dictionary!$A:$I,3,FALSE),"")</x:f>
      </x:c>
      <x:c r="E218" s="6" t="n">
        <x:f>Dashboard_Values!C219</x:f>
        <x:v>0</x:v>
      </x:c>
      <x:c r="F218" s="6" t="str">
        <x:f>IFERROR(VLOOKUP(C218,Metric_Dictionary!$A:$I,8,FALSE),"")</x:f>
      </x:c>
      <x:c r="G218" s="6" t="str">
        <x:f>IFERROR(VLOOKUP(C218,Metric_Dictionary!$A:$I,4,FALSE),"")</x:f>
      </x:c>
      <x:c r="H218" s="6" t="str">
        <x:f>IFERROR(VLOOKUP(C218,Metric_Dictionary!$A:$I,9,FALSE),"")</x:f>
      </x:c>
      <x:c r="I218" s="6" t="str">
        <x:f>IFERROR(VLOOKUP(C218,Metric_Dictionary!$A:$I,5,FALSE),"")</x:f>
      </x:c>
      <x:c r="J218" s="6" t="str">
        <x:f>IFERROR(VLOOKUP(C218,Metric_Dictionary!$A:$I,6,FALSE),"")</x:f>
      </x:c>
      <x:c r="K218" s="6" t="str">
        <x:f>IFERROR(VLOOKUP(C218,Metric_Dictionary!$A:$I,7,FALSE),"")</x:f>
      </x:c>
    </x:row>
    <x:row r="219" ht="15.75" customHeight="1">
      <x:c r="A219" s="8" t="n">
        <x:f>Dashboard_Values!A220</x:f>
        <x:v>0</x:v>
      </x:c>
      <x:c r="B219" s="6" t="str">
        <x:f>IFERROR(VLOOKUP(C219,Metric_Dictionary!$A:$I,2,FALSE),"")</x:f>
      </x:c>
      <x:c r="C219" s="6" t="n">
        <x:f>Dashboard_Values!B220</x:f>
        <x:v>0</x:v>
      </x:c>
      <x:c r="D219" s="6" t="str">
        <x:f>IFERROR(VLOOKUP(C219,Metric_Dictionary!$A:$I,3,FALSE),"")</x:f>
      </x:c>
      <x:c r="E219" s="6" t="n">
        <x:f>Dashboard_Values!C220</x:f>
        <x:v>0</x:v>
      </x:c>
      <x:c r="F219" s="6" t="str">
        <x:f>IFERROR(VLOOKUP(C219,Metric_Dictionary!$A:$I,8,FALSE),"")</x:f>
      </x:c>
      <x:c r="G219" s="6" t="str">
        <x:f>IFERROR(VLOOKUP(C219,Metric_Dictionary!$A:$I,4,FALSE),"")</x:f>
      </x:c>
      <x:c r="H219" s="6" t="str">
        <x:f>IFERROR(VLOOKUP(C219,Metric_Dictionary!$A:$I,9,FALSE),"")</x:f>
      </x:c>
      <x:c r="I219" s="6" t="str">
        <x:f>IFERROR(VLOOKUP(C219,Metric_Dictionary!$A:$I,5,FALSE),"")</x:f>
      </x:c>
      <x:c r="J219" s="6" t="str">
        <x:f>IFERROR(VLOOKUP(C219,Metric_Dictionary!$A:$I,6,FALSE),"")</x:f>
      </x:c>
      <x:c r="K219" s="6" t="str">
        <x:f>IFERROR(VLOOKUP(C219,Metric_Dictionary!$A:$I,7,FALSE),"")</x:f>
      </x:c>
    </x:row>
    <x:row r="220" ht="15.75" customHeight="1">
      <x:c r="A220" s="8" t="n">
        <x:f>Dashboard_Values!A221</x:f>
        <x:v>0</x:v>
      </x:c>
      <x:c r="B220" s="6" t="str">
        <x:f>IFERROR(VLOOKUP(C220,Metric_Dictionary!$A:$I,2,FALSE),"")</x:f>
      </x:c>
      <x:c r="C220" s="6" t="n">
        <x:f>Dashboard_Values!B221</x:f>
        <x:v>0</x:v>
      </x:c>
      <x:c r="D220" s="6" t="str">
        <x:f>IFERROR(VLOOKUP(C220,Metric_Dictionary!$A:$I,3,FALSE),"")</x:f>
      </x:c>
      <x:c r="E220" s="6" t="n">
        <x:f>Dashboard_Values!C221</x:f>
        <x:v>0</x:v>
      </x:c>
      <x:c r="F220" s="6" t="str">
        <x:f>IFERROR(VLOOKUP(C220,Metric_Dictionary!$A:$I,8,FALSE),"")</x:f>
      </x:c>
      <x:c r="G220" s="6" t="str">
        <x:f>IFERROR(VLOOKUP(C220,Metric_Dictionary!$A:$I,4,FALSE),"")</x:f>
      </x:c>
      <x:c r="H220" s="6" t="str">
        <x:f>IFERROR(VLOOKUP(C220,Metric_Dictionary!$A:$I,9,FALSE),"")</x:f>
      </x:c>
      <x:c r="I220" s="6" t="str">
        <x:f>IFERROR(VLOOKUP(C220,Metric_Dictionary!$A:$I,5,FALSE),"")</x:f>
      </x:c>
      <x:c r="J220" s="6" t="str">
        <x:f>IFERROR(VLOOKUP(C220,Metric_Dictionary!$A:$I,6,FALSE),"")</x:f>
      </x:c>
      <x:c r="K220" s="6" t="str">
        <x:f>IFERROR(VLOOKUP(C220,Metric_Dictionary!$A:$I,7,FALSE),"")</x:f>
      </x:c>
    </x:row>
    <x:row r="221" ht="15.75" customHeight="1">
      <x:c r="A221" s="8" t="n">
        <x:f>Dashboard_Values!A222</x:f>
        <x:v>0</x:v>
      </x:c>
      <x:c r="B221" s="6" t="str">
        <x:f>IFERROR(VLOOKUP(C221,Metric_Dictionary!$A:$I,2,FALSE),"")</x:f>
      </x:c>
      <x:c r="C221" s="6" t="n">
        <x:f>Dashboard_Values!B222</x:f>
        <x:v>0</x:v>
      </x:c>
      <x:c r="D221" s="6" t="str">
        <x:f>IFERROR(VLOOKUP(C221,Metric_Dictionary!$A:$I,3,FALSE),"")</x:f>
      </x:c>
      <x:c r="E221" s="6" t="n">
        <x:f>Dashboard_Values!C222</x:f>
        <x:v>0</x:v>
      </x:c>
      <x:c r="F221" s="6" t="str">
        <x:f>IFERROR(VLOOKUP(C221,Metric_Dictionary!$A:$I,8,FALSE),"")</x:f>
      </x:c>
      <x:c r="G221" s="6" t="str">
        <x:f>IFERROR(VLOOKUP(C221,Metric_Dictionary!$A:$I,4,FALSE),"")</x:f>
      </x:c>
      <x:c r="H221" s="6" t="str">
        <x:f>IFERROR(VLOOKUP(C221,Metric_Dictionary!$A:$I,9,FALSE),"")</x:f>
      </x:c>
      <x:c r="I221" s="6" t="str">
        <x:f>IFERROR(VLOOKUP(C221,Metric_Dictionary!$A:$I,5,FALSE),"")</x:f>
      </x:c>
      <x:c r="J221" s="6" t="str">
        <x:f>IFERROR(VLOOKUP(C221,Metric_Dictionary!$A:$I,6,FALSE),"")</x:f>
      </x:c>
      <x:c r="K221" s="6" t="str">
        <x:f>IFERROR(VLOOKUP(C221,Metric_Dictionary!$A:$I,7,FALSE),"")</x:f>
      </x:c>
    </x:row>
    <x:row r="222" ht="15.75" customHeight="1">
      <x:c r="A222" s="8" t="n">
        <x:f>Dashboard_Values!A223</x:f>
        <x:v>0</x:v>
      </x:c>
      <x:c r="B222" s="6" t="str">
        <x:f>IFERROR(VLOOKUP(C222,Metric_Dictionary!$A:$I,2,FALSE),"")</x:f>
      </x:c>
      <x:c r="C222" s="6" t="n">
        <x:f>Dashboard_Values!B223</x:f>
        <x:v>0</x:v>
      </x:c>
      <x:c r="D222" s="6" t="str">
        <x:f>IFERROR(VLOOKUP(C222,Metric_Dictionary!$A:$I,3,FALSE),"")</x:f>
      </x:c>
      <x:c r="E222" s="6" t="n">
        <x:f>Dashboard_Values!C223</x:f>
        <x:v>0</x:v>
      </x:c>
      <x:c r="F222" s="6" t="str">
        <x:f>IFERROR(VLOOKUP(C222,Metric_Dictionary!$A:$I,8,FALSE),"")</x:f>
      </x:c>
      <x:c r="G222" s="6" t="str">
        <x:f>IFERROR(VLOOKUP(C222,Metric_Dictionary!$A:$I,4,FALSE),"")</x:f>
      </x:c>
      <x:c r="H222" s="6" t="str">
        <x:f>IFERROR(VLOOKUP(C222,Metric_Dictionary!$A:$I,9,FALSE),"")</x:f>
      </x:c>
      <x:c r="I222" s="6" t="str">
        <x:f>IFERROR(VLOOKUP(C222,Metric_Dictionary!$A:$I,5,FALSE),"")</x:f>
      </x:c>
      <x:c r="J222" s="6" t="str">
        <x:f>IFERROR(VLOOKUP(C222,Metric_Dictionary!$A:$I,6,FALSE),"")</x:f>
      </x:c>
      <x:c r="K222" s="6" t="str">
        <x:f>IFERROR(VLOOKUP(C222,Metric_Dictionary!$A:$I,7,FALSE),"")</x:f>
      </x:c>
    </x:row>
    <x:row r="223" ht="15.75" customHeight="1">
      <x:c r="A223" s="8" t="n">
        <x:f>Dashboard_Values!A224</x:f>
        <x:v>0</x:v>
      </x:c>
      <x:c r="B223" s="6" t="str">
        <x:f>IFERROR(VLOOKUP(C223,Metric_Dictionary!$A:$I,2,FALSE),"")</x:f>
      </x:c>
      <x:c r="C223" s="6" t="n">
        <x:f>Dashboard_Values!B224</x:f>
        <x:v>0</x:v>
      </x:c>
      <x:c r="D223" s="6" t="str">
        <x:f>IFERROR(VLOOKUP(C223,Metric_Dictionary!$A:$I,3,FALSE),"")</x:f>
      </x:c>
      <x:c r="E223" s="6" t="n">
        <x:f>Dashboard_Values!C224</x:f>
        <x:v>0</x:v>
      </x:c>
      <x:c r="F223" s="6" t="str">
        <x:f>IFERROR(VLOOKUP(C223,Metric_Dictionary!$A:$I,8,FALSE),"")</x:f>
      </x:c>
      <x:c r="G223" s="6" t="str">
        <x:f>IFERROR(VLOOKUP(C223,Metric_Dictionary!$A:$I,4,FALSE),"")</x:f>
      </x:c>
      <x:c r="H223" s="6" t="str">
        <x:f>IFERROR(VLOOKUP(C223,Metric_Dictionary!$A:$I,9,FALSE),"")</x:f>
      </x:c>
      <x:c r="I223" s="6" t="str">
        <x:f>IFERROR(VLOOKUP(C223,Metric_Dictionary!$A:$I,5,FALSE),"")</x:f>
      </x:c>
      <x:c r="J223" s="6" t="str">
        <x:f>IFERROR(VLOOKUP(C223,Metric_Dictionary!$A:$I,6,FALSE),"")</x:f>
      </x:c>
      <x:c r="K223" s="6" t="str">
        <x:f>IFERROR(VLOOKUP(C223,Metric_Dictionary!$A:$I,7,FALSE),"")</x:f>
      </x:c>
    </x:row>
    <x:row r="224" ht="15.75" customHeight="1">
      <x:c r="A224" s="8" t="n">
        <x:f>Dashboard_Values!A225</x:f>
        <x:v>0</x:v>
      </x:c>
      <x:c r="B224" s="6" t="str">
        <x:f>IFERROR(VLOOKUP(C224,Metric_Dictionary!$A:$I,2,FALSE),"")</x:f>
      </x:c>
      <x:c r="C224" s="6" t="n">
        <x:f>Dashboard_Values!B225</x:f>
        <x:v>0</x:v>
      </x:c>
      <x:c r="D224" s="6" t="str">
        <x:f>IFERROR(VLOOKUP(C224,Metric_Dictionary!$A:$I,3,FALSE),"")</x:f>
      </x:c>
      <x:c r="E224" s="6" t="n">
        <x:f>Dashboard_Values!C225</x:f>
        <x:v>0</x:v>
      </x:c>
      <x:c r="F224" s="6" t="str">
        <x:f>IFERROR(VLOOKUP(C224,Metric_Dictionary!$A:$I,8,FALSE),"")</x:f>
      </x:c>
      <x:c r="G224" s="6" t="str">
        <x:f>IFERROR(VLOOKUP(C224,Metric_Dictionary!$A:$I,4,FALSE),"")</x:f>
      </x:c>
      <x:c r="H224" s="6" t="str">
        <x:f>IFERROR(VLOOKUP(C224,Metric_Dictionary!$A:$I,9,FALSE),"")</x:f>
      </x:c>
      <x:c r="I224" s="6" t="str">
        <x:f>IFERROR(VLOOKUP(C224,Metric_Dictionary!$A:$I,5,FALSE),"")</x:f>
      </x:c>
      <x:c r="J224" s="6" t="str">
        <x:f>IFERROR(VLOOKUP(C224,Metric_Dictionary!$A:$I,6,FALSE),"")</x:f>
      </x:c>
      <x:c r="K224" s="6" t="str">
        <x:f>IFERROR(VLOOKUP(C224,Metric_Dictionary!$A:$I,7,FALSE),"")</x:f>
      </x:c>
    </x:row>
    <x:row r="225" ht="15.75" customHeight="1">
      <x:c r="A225" s="8" t="n">
        <x:f>Dashboard_Values!A226</x:f>
        <x:v>0</x:v>
      </x:c>
      <x:c r="B225" s="6" t="str">
        <x:f>IFERROR(VLOOKUP(C225,Metric_Dictionary!$A:$I,2,FALSE),"")</x:f>
      </x:c>
      <x:c r="C225" s="6" t="n">
        <x:f>Dashboard_Values!B226</x:f>
        <x:v>0</x:v>
      </x:c>
      <x:c r="D225" s="6" t="str">
        <x:f>IFERROR(VLOOKUP(C225,Metric_Dictionary!$A:$I,3,FALSE),"")</x:f>
      </x:c>
      <x:c r="E225" s="6" t="n">
        <x:f>Dashboard_Values!C226</x:f>
        <x:v>0</x:v>
      </x:c>
      <x:c r="F225" s="6" t="str">
        <x:f>IFERROR(VLOOKUP(C225,Metric_Dictionary!$A:$I,8,FALSE),"")</x:f>
      </x:c>
      <x:c r="G225" s="6" t="str">
        <x:f>IFERROR(VLOOKUP(C225,Metric_Dictionary!$A:$I,4,FALSE),"")</x:f>
      </x:c>
      <x:c r="H225" s="6" t="str">
        <x:f>IFERROR(VLOOKUP(C225,Metric_Dictionary!$A:$I,9,FALSE),"")</x:f>
      </x:c>
      <x:c r="I225" s="6" t="str">
        <x:f>IFERROR(VLOOKUP(C225,Metric_Dictionary!$A:$I,5,FALSE),"")</x:f>
      </x:c>
      <x:c r="J225" s="6" t="str">
        <x:f>IFERROR(VLOOKUP(C225,Metric_Dictionary!$A:$I,6,FALSE),"")</x:f>
      </x:c>
      <x:c r="K225" s="6" t="str">
        <x:f>IFERROR(VLOOKUP(C225,Metric_Dictionary!$A:$I,7,FALSE),"")</x:f>
      </x:c>
    </x:row>
    <x:row r="226" ht="15.75" customHeight="1">
      <x:c r="A226" s="8" t="n">
        <x:f>Dashboard_Values!A227</x:f>
        <x:v>0</x:v>
      </x:c>
      <x:c r="B226" s="6" t="str">
        <x:f>IFERROR(VLOOKUP(C226,Metric_Dictionary!$A:$I,2,FALSE),"")</x:f>
      </x:c>
      <x:c r="C226" s="6" t="n">
        <x:f>Dashboard_Values!B227</x:f>
        <x:v>0</x:v>
      </x:c>
      <x:c r="D226" s="6" t="str">
        <x:f>IFERROR(VLOOKUP(C226,Metric_Dictionary!$A:$I,3,FALSE),"")</x:f>
      </x:c>
      <x:c r="E226" s="6" t="n">
        <x:f>Dashboard_Values!C227</x:f>
        <x:v>0</x:v>
      </x:c>
      <x:c r="F226" s="6" t="str">
        <x:f>IFERROR(VLOOKUP(C226,Metric_Dictionary!$A:$I,8,FALSE),"")</x:f>
      </x:c>
      <x:c r="G226" s="6" t="str">
        <x:f>IFERROR(VLOOKUP(C226,Metric_Dictionary!$A:$I,4,FALSE),"")</x:f>
      </x:c>
      <x:c r="H226" s="6" t="str">
        <x:f>IFERROR(VLOOKUP(C226,Metric_Dictionary!$A:$I,9,FALSE),"")</x:f>
      </x:c>
      <x:c r="I226" s="6" t="str">
        <x:f>IFERROR(VLOOKUP(C226,Metric_Dictionary!$A:$I,5,FALSE),"")</x:f>
      </x:c>
      <x:c r="J226" s="6" t="str">
        <x:f>IFERROR(VLOOKUP(C226,Metric_Dictionary!$A:$I,6,FALSE),"")</x:f>
      </x:c>
      <x:c r="K226" s="6" t="str">
        <x:f>IFERROR(VLOOKUP(C226,Metric_Dictionary!$A:$I,7,FALSE),"")</x:f>
      </x:c>
    </x:row>
    <x:row r="227" ht="15.75" customHeight="1">
      <x:c r="A227" s="8" t="n">
        <x:f>Dashboard_Values!A228</x:f>
        <x:v>0</x:v>
      </x:c>
      <x:c r="B227" s="6" t="str">
        <x:f>IFERROR(VLOOKUP(C227,Metric_Dictionary!$A:$I,2,FALSE),"")</x:f>
      </x:c>
      <x:c r="C227" s="6" t="n">
        <x:f>Dashboard_Values!B228</x:f>
        <x:v>0</x:v>
      </x:c>
      <x:c r="D227" s="6" t="str">
        <x:f>IFERROR(VLOOKUP(C227,Metric_Dictionary!$A:$I,3,FALSE),"")</x:f>
      </x:c>
      <x:c r="E227" s="6" t="n">
        <x:f>Dashboard_Values!C228</x:f>
        <x:v>0</x:v>
      </x:c>
      <x:c r="F227" s="6" t="str">
        <x:f>IFERROR(VLOOKUP(C227,Metric_Dictionary!$A:$I,8,FALSE),"")</x:f>
      </x:c>
      <x:c r="G227" s="6" t="str">
        <x:f>IFERROR(VLOOKUP(C227,Metric_Dictionary!$A:$I,4,FALSE),"")</x:f>
      </x:c>
      <x:c r="H227" s="6" t="str">
        <x:f>IFERROR(VLOOKUP(C227,Metric_Dictionary!$A:$I,9,FALSE),"")</x:f>
      </x:c>
      <x:c r="I227" s="6" t="str">
        <x:f>IFERROR(VLOOKUP(C227,Metric_Dictionary!$A:$I,5,FALSE),"")</x:f>
      </x:c>
      <x:c r="J227" s="6" t="str">
        <x:f>IFERROR(VLOOKUP(C227,Metric_Dictionary!$A:$I,6,FALSE),"")</x:f>
      </x:c>
      <x:c r="K227" s="6" t="str">
        <x:f>IFERROR(VLOOKUP(C227,Metric_Dictionary!$A:$I,7,FALSE),"")</x:f>
      </x:c>
    </x:row>
    <x:row r="228" ht="15.75" customHeight="1">
      <x:c r="A228" s="8" t="n">
        <x:f>Dashboard_Values!A229</x:f>
        <x:v>0</x:v>
      </x:c>
      <x:c r="B228" s="6" t="str">
        <x:f>IFERROR(VLOOKUP(C228,Metric_Dictionary!$A:$I,2,FALSE),"")</x:f>
      </x:c>
      <x:c r="C228" s="6" t="n">
        <x:f>Dashboard_Values!B229</x:f>
        <x:v>0</x:v>
      </x:c>
      <x:c r="D228" s="6" t="str">
        <x:f>IFERROR(VLOOKUP(C228,Metric_Dictionary!$A:$I,3,FALSE),"")</x:f>
      </x:c>
      <x:c r="E228" s="6" t="n">
        <x:f>Dashboard_Values!C229</x:f>
        <x:v>0</x:v>
      </x:c>
      <x:c r="F228" s="6" t="str">
        <x:f>IFERROR(VLOOKUP(C228,Metric_Dictionary!$A:$I,8,FALSE),"")</x:f>
      </x:c>
      <x:c r="G228" s="6" t="str">
        <x:f>IFERROR(VLOOKUP(C228,Metric_Dictionary!$A:$I,4,FALSE),"")</x:f>
      </x:c>
      <x:c r="H228" s="6" t="str">
        <x:f>IFERROR(VLOOKUP(C228,Metric_Dictionary!$A:$I,9,FALSE),"")</x:f>
      </x:c>
      <x:c r="I228" s="6" t="str">
        <x:f>IFERROR(VLOOKUP(C228,Metric_Dictionary!$A:$I,5,FALSE),"")</x:f>
      </x:c>
      <x:c r="J228" s="6" t="str">
        <x:f>IFERROR(VLOOKUP(C228,Metric_Dictionary!$A:$I,6,FALSE),"")</x:f>
      </x:c>
      <x:c r="K228" s="6" t="str">
        <x:f>IFERROR(VLOOKUP(C228,Metric_Dictionary!$A:$I,7,FALSE),"")</x:f>
      </x:c>
    </x:row>
    <x:row r="229" ht="15.75" customHeight="1">
      <x:c r="A229" s="8" t="n">
        <x:f>Dashboard_Values!A230</x:f>
        <x:v>0</x:v>
      </x:c>
      <x:c r="B229" s="6" t="str">
        <x:f>IFERROR(VLOOKUP(C229,Metric_Dictionary!$A:$I,2,FALSE),"")</x:f>
      </x:c>
      <x:c r="C229" s="6" t="n">
        <x:f>Dashboard_Values!B230</x:f>
        <x:v>0</x:v>
      </x:c>
      <x:c r="D229" s="6" t="str">
        <x:f>IFERROR(VLOOKUP(C229,Metric_Dictionary!$A:$I,3,FALSE),"")</x:f>
      </x:c>
      <x:c r="E229" s="6" t="n">
        <x:f>Dashboard_Values!C230</x:f>
        <x:v>0</x:v>
      </x:c>
      <x:c r="F229" s="6" t="str">
        <x:f>IFERROR(VLOOKUP(C229,Metric_Dictionary!$A:$I,8,FALSE),"")</x:f>
      </x:c>
      <x:c r="G229" s="6" t="str">
        <x:f>IFERROR(VLOOKUP(C229,Metric_Dictionary!$A:$I,4,FALSE),"")</x:f>
      </x:c>
      <x:c r="H229" s="6" t="str">
        <x:f>IFERROR(VLOOKUP(C229,Metric_Dictionary!$A:$I,9,FALSE),"")</x:f>
      </x:c>
      <x:c r="I229" s="6" t="str">
        <x:f>IFERROR(VLOOKUP(C229,Metric_Dictionary!$A:$I,5,FALSE),"")</x:f>
      </x:c>
      <x:c r="J229" s="6" t="str">
        <x:f>IFERROR(VLOOKUP(C229,Metric_Dictionary!$A:$I,6,FALSE),"")</x:f>
      </x:c>
      <x:c r="K229" s="6" t="str">
        <x:f>IFERROR(VLOOKUP(C229,Metric_Dictionary!$A:$I,7,FALSE),"")</x:f>
      </x:c>
    </x:row>
    <x:row r="230" ht="15.75" customHeight="1">
      <x:c r="A230" s="8" t="n">
        <x:f>Dashboard_Values!A231</x:f>
        <x:v>0</x:v>
      </x:c>
      <x:c r="B230" s="6" t="str">
        <x:f>IFERROR(VLOOKUP(C230,Metric_Dictionary!$A:$I,2,FALSE),"")</x:f>
      </x:c>
      <x:c r="C230" s="6" t="n">
        <x:f>Dashboard_Values!B231</x:f>
        <x:v>0</x:v>
      </x:c>
      <x:c r="D230" s="6" t="str">
        <x:f>IFERROR(VLOOKUP(C230,Metric_Dictionary!$A:$I,3,FALSE),"")</x:f>
      </x:c>
      <x:c r="E230" s="6" t="n">
        <x:f>Dashboard_Values!C231</x:f>
        <x:v>0</x:v>
      </x:c>
      <x:c r="F230" s="6" t="str">
        <x:f>IFERROR(VLOOKUP(C230,Metric_Dictionary!$A:$I,8,FALSE),"")</x:f>
      </x:c>
      <x:c r="G230" s="6" t="str">
        <x:f>IFERROR(VLOOKUP(C230,Metric_Dictionary!$A:$I,4,FALSE),"")</x:f>
      </x:c>
      <x:c r="H230" s="6" t="str">
        <x:f>IFERROR(VLOOKUP(C230,Metric_Dictionary!$A:$I,9,FALSE),"")</x:f>
      </x:c>
      <x:c r="I230" s="6" t="str">
        <x:f>IFERROR(VLOOKUP(C230,Metric_Dictionary!$A:$I,5,FALSE),"")</x:f>
      </x:c>
      <x:c r="J230" s="6" t="str">
        <x:f>IFERROR(VLOOKUP(C230,Metric_Dictionary!$A:$I,6,FALSE),"")</x:f>
      </x:c>
      <x:c r="K230" s="6" t="str">
        <x:f>IFERROR(VLOOKUP(C230,Metric_Dictionary!$A:$I,7,FALSE),"")</x:f>
      </x:c>
    </x:row>
    <x:row r="231" ht="15.75" customHeight="1">
      <x:c r="A231" s="8" t="n">
        <x:f>Dashboard_Values!A232</x:f>
        <x:v>0</x:v>
      </x:c>
      <x:c r="B231" s="6" t="str">
        <x:f>IFERROR(VLOOKUP(C231,Metric_Dictionary!$A:$I,2,FALSE),"")</x:f>
      </x:c>
      <x:c r="C231" s="6" t="n">
        <x:f>Dashboard_Values!B232</x:f>
        <x:v>0</x:v>
      </x:c>
      <x:c r="D231" s="6" t="str">
        <x:f>IFERROR(VLOOKUP(C231,Metric_Dictionary!$A:$I,3,FALSE),"")</x:f>
      </x:c>
      <x:c r="E231" s="6" t="n">
        <x:f>Dashboard_Values!C232</x:f>
        <x:v>0</x:v>
      </x:c>
      <x:c r="F231" s="6" t="str">
        <x:f>IFERROR(VLOOKUP(C231,Metric_Dictionary!$A:$I,8,FALSE),"")</x:f>
      </x:c>
      <x:c r="G231" s="6" t="str">
        <x:f>IFERROR(VLOOKUP(C231,Metric_Dictionary!$A:$I,4,FALSE),"")</x:f>
      </x:c>
      <x:c r="H231" s="6" t="str">
        <x:f>IFERROR(VLOOKUP(C231,Metric_Dictionary!$A:$I,9,FALSE),"")</x:f>
      </x:c>
      <x:c r="I231" s="6" t="str">
        <x:f>IFERROR(VLOOKUP(C231,Metric_Dictionary!$A:$I,5,FALSE),"")</x:f>
      </x:c>
      <x:c r="J231" s="6" t="str">
        <x:f>IFERROR(VLOOKUP(C231,Metric_Dictionary!$A:$I,6,FALSE),"")</x:f>
      </x:c>
      <x:c r="K231" s="6" t="str">
        <x:f>IFERROR(VLOOKUP(C231,Metric_Dictionary!$A:$I,7,FALSE),"")</x:f>
      </x:c>
    </x:row>
    <x:row r="232" ht="15.75" customHeight="1">
      <x:c r="A232" s="8" t="n">
        <x:f>Dashboard_Values!A233</x:f>
        <x:v>0</x:v>
      </x:c>
      <x:c r="B232" s="6" t="str">
        <x:f>IFERROR(VLOOKUP(C232,Metric_Dictionary!$A:$I,2,FALSE),"")</x:f>
      </x:c>
      <x:c r="C232" s="6" t="n">
        <x:f>Dashboard_Values!B233</x:f>
        <x:v>0</x:v>
      </x:c>
      <x:c r="D232" s="6" t="str">
        <x:f>IFERROR(VLOOKUP(C232,Metric_Dictionary!$A:$I,3,FALSE),"")</x:f>
      </x:c>
      <x:c r="E232" s="6" t="n">
        <x:f>Dashboard_Values!C233</x:f>
        <x:v>0</x:v>
      </x:c>
      <x:c r="F232" s="6" t="str">
        <x:f>IFERROR(VLOOKUP(C232,Metric_Dictionary!$A:$I,8,FALSE),"")</x:f>
      </x:c>
      <x:c r="G232" s="6" t="str">
        <x:f>IFERROR(VLOOKUP(C232,Metric_Dictionary!$A:$I,4,FALSE),"")</x:f>
      </x:c>
      <x:c r="H232" s="6" t="str">
        <x:f>IFERROR(VLOOKUP(C232,Metric_Dictionary!$A:$I,9,FALSE),"")</x:f>
      </x:c>
      <x:c r="I232" s="6" t="str">
        <x:f>IFERROR(VLOOKUP(C232,Metric_Dictionary!$A:$I,5,FALSE),"")</x:f>
      </x:c>
      <x:c r="J232" s="6" t="str">
        <x:f>IFERROR(VLOOKUP(C232,Metric_Dictionary!$A:$I,6,FALSE),"")</x:f>
      </x:c>
      <x:c r="K232" s="6" t="str">
        <x:f>IFERROR(VLOOKUP(C232,Metric_Dictionary!$A:$I,7,FALSE),"")</x:f>
      </x:c>
    </x:row>
    <x:row r="233" ht="15.75" customHeight="1">
      <x:c r="A233" s="8" t="n">
        <x:f>Dashboard_Values!A234</x:f>
        <x:v>0</x:v>
      </x:c>
      <x:c r="B233" s="6" t="str">
        <x:f>IFERROR(VLOOKUP(C233,Metric_Dictionary!$A:$I,2,FALSE),"")</x:f>
      </x:c>
      <x:c r="C233" s="6" t="n">
        <x:f>Dashboard_Values!B234</x:f>
        <x:v>0</x:v>
      </x:c>
      <x:c r="D233" s="6" t="str">
        <x:f>IFERROR(VLOOKUP(C233,Metric_Dictionary!$A:$I,3,FALSE),"")</x:f>
      </x:c>
      <x:c r="E233" s="6" t="n">
        <x:f>Dashboard_Values!C234</x:f>
        <x:v>0</x:v>
      </x:c>
      <x:c r="F233" s="6" t="str">
        <x:f>IFERROR(VLOOKUP(C233,Metric_Dictionary!$A:$I,8,FALSE),"")</x:f>
      </x:c>
      <x:c r="G233" s="6" t="str">
        <x:f>IFERROR(VLOOKUP(C233,Metric_Dictionary!$A:$I,4,FALSE),"")</x:f>
      </x:c>
      <x:c r="H233" s="6" t="str">
        <x:f>IFERROR(VLOOKUP(C233,Metric_Dictionary!$A:$I,9,FALSE),"")</x:f>
      </x:c>
      <x:c r="I233" s="6" t="str">
        <x:f>IFERROR(VLOOKUP(C233,Metric_Dictionary!$A:$I,5,FALSE),"")</x:f>
      </x:c>
      <x:c r="J233" s="6" t="str">
        <x:f>IFERROR(VLOOKUP(C233,Metric_Dictionary!$A:$I,6,FALSE),"")</x:f>
      </x:c>
      <x:c r="K233" s="6" t="str">
        <x:f>IFERROR(VLOOKUP(C233,Metric_Dictionary!$A:$I,7,FALSE),"")</x:f>
      </x:c>
    </x:row>
    <x:row r="234" ht="15.75" customHeight="1">
      <x:c r="A234" s="8" t="n">
        <x:f>Dashboard_Values!A235</x:f>
        <x:v>0</x:v>
      </x:c>
      <x:c r="B234" s="6" t="str">
        <x:f>IFERROR(VLOOKUP(C234,Metric_Dictionary!$A:$I,2,FALSE),"")</x:f>
      </x:c>
      <x:c r="C234" s="6" t="n">
        <x:f>Dashboard_Values!B235</x:f>
        <x:v>0</x:v>
      </x:c>
      <x:c r="D234" s="6" t="str">
        <x:f>IFERROR(VLOOKUP(C234,Metric_Dictionary!$A:$I,3,FALSE),"")</x:f>
      </x:c>
      <x:c r="E234" s="6" t="n">
        <x:f>Dashboard_Values!C235</x:f>
        <x:v>0</x:v>
      </x:c>
      <x:c r="F234" s="6" t="str">
        <x:f>IFERROR(VLOOKUP(C234,Metric_Dictionary!$A:$I,8,FALSE),"")</x:f>
      </x:c>
      <x:c r="G234" s="6" t="str">
        <x:f>IFERROR(VLOOKUP(C234,Metric_Dictionary!$A:$I,4,FALSE),"")</x:f>
      </x:c>
      <x:c r="H234" s="6" t="str">
        <x:f>IFERROR(VLOOKUP(C234,Metric_Dictionary!$A:$I,9,FALSE),"")</x:f>
      </x:c>
      <x:c r="I234" s="6" t="str">
        <x:f>IFERROR(VLOOKUP(C234,Metric_Dictionary!$A:$I,5,FALSE),"")</x:f>
      </x:c>
      <x:c r="J234" s="6" t="str">
        <x:f>IFERROR(VLOOKUP(C234,Metric_Dictionary!$A:$I,6,FALSE),"")</x:f>
      </x:c>
      <x:c r="K234" s="6" t="str">
        <x:f>IFERROR(VLOOKUP(C234,Metric_Dictionary!$A:$I,7,FALSE),"")</x:f>
      </x:c>
    </x:row>
    <x:row r="235" ht="15.75" customHeight="1">
      <x:c r="A235" s="8" t="n">
        <x:f>Dashboard_Values!A236</x:f>
        <x:v>0</x:v>
      </x:c>
      <x:c r="B235" s="6" t="str">
        <x:f>IFERROR(VLOOKUP(C235,Metric_Dictionary!$A:$I,2,FALSE),"")</x:f>
      </x:c>
      <x:c r="C235" s="6" t="n">
        <x:f>Dashboard_Values!B236</x:f>
        <x:v>0</x:v>
      </x:c>
      <x:c r="D235" s="6" t="str">
        <x:f>IFERROR(VLOOKUP(C235,Metric_Dictionary!$A:$I,3,FALSE),"")</x:f>
      </x:c>
      <x:c r="E235" s="6" t="n">
        <x:f>Dashboard_Values!C236</x:f>
        <x:v>0</x:v>
      </x:c>
      <x:c r="F235" s="6" t="str">
        <x:f>IFERROR(VLOOKUP(C235,Metric_Dictionary!$A:$I,8,FALSE),"")</x:f>
      </x:c>
      <x:c r="G235" s="6" t="str">
        <x:f>IFERROR(VLOOKUP(C235,Metric_Dictionary!$A:$I,4,FALSE),"")</x:f>
      </x:c>
      <x:c r="H235" s="6" t="str">
        <x:f>IFERROR(VLOOKUP(C235,Metric_Dictionary!$A:$I,9,FALSE),"")</x:f>
      </x:c>
      <x:c r="I235" s="6" t="str">
        <x:f>IFERROR(VLOOKUP(C235,Metric_Dictionary!$A:$I,5,FALSE),"")</x:f>
      </x:c>
      <x:c r="J235" s="6" t="str">
        <x:f>IFERROR(VLOOKUP(C235,Metric_Dictionary!$A:$I,6,FALSE),"")</x:f>
      </x:c>
      <x:c r="K235" s="6" t="str">
        <x:f>IFERROR(VLOOKUP(C235,Metric_Dictionary!$A:$I,7,FALSE),"")</x:f>
      </x:c>
    </x:row>
    <x:row r="236" ht="15.75" customHeight="1">
      <x:c r="A236" s="8" t="n">
        <x:f>Dashboard_Values!A237</x:f>
        <x:v>0</x:v>
      </x:c>
      <x:c r="B236" s="6" t="str">
        <x:f>IFERROR(VLOOKUP(C236,Metric_Dictionary!$A:$I,2,FALSE),"")</x:f>
      </x:c>
      <x:c r="C236" s="6" t="n">
        <x:f>Dashboard_Values!B237</x:f>
        <x:v>0</x:v>
      </x:c>
      <x:c r="D236" s="6" t="str">
        <x:f>IFERROR(VLOOKUP(C236,Metric_Dictionary!$A:$I,3,FALSE),"")</x:f>
      </x:c>
      <x:c r="E236" s="6" t="n">
        <x:f>Dashboard_Values!C237</x:f>
        <x:v>0</x:v>
      </x:c>
      <x:c r="F236" s="6" t="str">
        <x:f>IFERROR(VLOOKUP(C236,Metric_Dictionary!$A:$I,8,FALSE),"")</x:f>
      </x:c>
      <x:c r="G236" s="6" t="str">
        <x:f>IFERROR(VLOOKUP(C236,Metric_Dictionary!$A:$I,4,FALSE),"")</x:f>
      </x:c>
      <x:c r="H236" s="6" t="str">
        <x:f>IFERROR(VLOOKUP(C236,Metric_Dictionary!$A:$I,9,FALSE),"")</x:f>
      </x:c>
      <x:c r="I236" s="6" t="str">
        <x:f>IFERROR(VLOOKUP(C236,Metric_Dictionary!$A:$I,5,FALSE),"")</x:f>
      </x:c>
      <x:c r="J236" s="6" t="str">
        <x:f>IFERROR(VLOOKUP(C236,Metric_Dictionary!$A:$I,6,FALSE),"")</x:f>
      </x:c>
      <x:c r="K236" s="6" t="str">
        <x:f>IFERROR(VLOOKUP(C236,Metric_Dictionary!$A:$I,7,FALSE),"")</x:f>
      </x:c>
    </x:row>
    <x:row r="237" ht="15.75" customHeight="1">
      <x:c r="A237" s="8" t="n">
        <x:f>Dashboard_Values!A238</x:f>
        <x:v>0</x:v>
      </x:c>
      <x:c r="B237" s="6" t="str">
        <x:f>IFERROR(VLOOKUP(C237,Metric_Dictionary!$A:$I,2,FALSE),"")</x:f>
      </x:c>
      <x:c r="C237" s="6" t="n">
        <x:f>Dashboard_Values!B238</x:f>
        <x:v>0</x:v>
      </x:c>
      <x:c r="D237" s="6" t="str">
        <x:f>IFERROR(VLOOKUP(C237,Metric_Dictionary!$A:$I,3,FALSE),"")</x:f>
      </x:c>
      <x:c r="E237" s="6" t="n">
        <x:f>Dashboard_Values!C238</x:f>
        <x:v>0</x:v>
      </x:c>
      <x:c r="F237" s="6" t="str">
        <x:f>IFERROR(VLOOKUP(C237,Metric_Dictionary!$A:$I,8,FALSE),"")</x:f>
      </x:c>
      <x:c r="G237" s="6" t="str">
        <x:f>IFERROR(VLOOKUP(C237,Metric_Dictionary!$A:$I,4,FALSE),"")</x:f>
      </x:c>
      <x:c r="H237" s="6" t="str">
        <x:f>IFERROR(VLOOKUP(C237,Metric_Dictionary!$A:$I,9,FALSE),"")</x:f>
      </x:c>
      <x:c r="I237" s="6" t="str">
        <x:f>IFERROR(VLOOKUP(C237,Metric_Dictionary!$A:$I,5,FALSE),"")</x:f>
      </x:c>
      <x:c r="J237" s="6" t="str">
        <x:f>IFERROR(VLOOKUP(C237,Metric_Dictionary!$A:$I,6,FALSE),"")</x:f>
      </x:c>
      <x:c r="K237" s="6" t="str">
        <x:f>IFERROR(VLOOKUP(C237,Metric_Dictionary!$A:$I,7,FALSE),"")</x:f>
      </x:c>
    </x:row>
    <x:row r="238" ht="15.75" customHeight="1">
      <x:c r="A238" s="8" t="n">
        <x:f>Dashboard_Values!A239</x:f>
        <x:v>0</x:v>
      </x:c>
      <x:c r="B238" s="6" t="str">
        <x:f>IFERROR(VLOOKUP(C238,Metric_Dictionary!$A:$I,2,FALSE),"")</x:f>
      </x:c>
      <x:c r="C238" s="6" t="n">
        <x:f>Dashboard_Values!B239</x:f>
        <x:v>0</x:v>
      </x:c>
      <x:c r="D238" s="6" t="str">
        <x:f>IFERROR(VLOOKUP(C238,Metric_Dictionary!$A:$I,3,FALSE),"")</x:f>
      </x:c>
      <x:c r="E238" s="6" t="n">
        <x:f>Dashboard_Values!C239</x:f>
        <x:v>0</x:v>
      </x:c>
      <x:c r="F238" s="6" t="str">
        <x:f>IFERROR(VLOOKUP(C238,Metric_Dictionary!$A:$I,8,FALSE),"")</x:f>
      </x:c>
      <x:c r="G238" s="6" t="str">
        <x:f>IFERROR(VLOOKUP(C238,Metric_Dictionary!$A:$I,4,FALSE),"")</x:f>
      </x:c>
      <x:c r="H238" s="6" t="str">
        <x:f>IFERROR(VLOOKUP(C238,Metric_Dictionary!$A:$I,9,FALSE),"")</x:f>
      </x:c>
      <x:c r="I238" s="6" t="str">
        <x:f>IFERROR(VLOOKUP(C238,Metric_Dictionary!$A:$I,5,FALSE),"")</x:f>
      </x:c>
      <x:c r="J238" s="6" t="str">
        <x:f>IFERROR(VLOOKUP(C238,Metric_Dictionary!$A:$I,6,FALSE),"")</x:f>
      </x:c>
      <x:c r="K238" s="6" t="str">
        <x:f>IFERROR(VLOOKUP(C238,Metric_Dictionary!$A:$I,7,FALSE),"")</x:f>
      </x:c>
    </x:row>
    <x:row r="239" ht="15.75" customHeight="1">
      <x:c r="A239" s="8" t="n">
        <x:f>Dashboard_Values!A240</x:f>
        <x:v>0</x:v>
      </x:c>
      <x:c r="B239" s="6" t="str">
        <x:f>IFERROR(VLOOKUP(C239,Metric_Dictionary!$A:$I,2,FALSE),"")</x:f>
      </x:c>
      <x:c r="C239" s="6" t="n">
        <x:f>Dashboard_Values!B240</x:f>
        <x:v>0</x:v>
      </x:c>
      <x:c r="D239" s="6" t="str">
        <x:f>IFERROR(VLOOKUP(C239,Metric_Dictionary!$A:$I,3,FALSE),"")</x:f>
      </x:c>
      <x:c r="E239" s="6" t="n">
        <x:f>Dashboard_Values!C240</x:f>
        <x:v>0</x:v>
      </x:c>
      <x:c r="F239" s="6" t="str">
        <x:f>IFERROR(VLOOKUP(C239,Metric_Dictionary!$A:$I,8,FALSE),"")</x:f>
      </x:c>
      <x:c r="G239" s="6" t="str">
        <x:f>IFERROR(VLOOKUP(C239,Metric_Dictionary!$A:$I,4,FALSE),"")</x:f>
      </x:c>
      <x:c r="H239" s="6" t="str">
        <x:f>IFERROR(VLOOKUP(C239,Metric_Dictionary!$A:$I,9,FALSE),"")</x:f>
      </x:c>
      <x:c r="I239" s="6" t="str">
        <x:f>IFERROR(VLOOKUP(C239,Metric_Dictionary!$A:$I,5,FALSE),"")</x:f>
      </x:c>
      <x:c r="J239" s="6" t="str">
        <x:f>IFERROR(VLOOKUP(C239,Metric_Dictionary!$A:$I,6,FALSE),"")</x:f>
      </x:c>
      <x:c r="K239" s="6" t="str">
        <x:f>IFERROR(VLOOKUP(C239,Metric_Dictionary!$A:$I,7,FALSE),"")</x:f>
      </x:c>
    </x:row>
    <x:row r="240" ht="15.75" customHeight="1">
      <x:c r="A240" s="8" t="n">
        <x:f>Dashboard_Values!A241</x:f>
        <x:v>0</x:v>
      </x:c>
      <x:c r="B240" s="6" t="str">
        <x:f>IFERROR(VLOOKUP(C240,Metric_Dictionary!$A:$I,2,FALSE),"")</x:f>
      </x:c>
      <x:c r="C240" s="6" t="n">
        <x:f>Dashboard_Values!B241</x:f>
        <x:v>0</x:v>
      </x:c>
      <x:c r="D240" s="6" t="str">
        <x:f>IFERROR(VLOOKUP(C240,Metric_Dictionary!$A:$I,3,FALSE),"")</x:f>
      </x:c>
      <x:c r="E240" s="6" t="n">
        <x:f>Dashboard_Values!C241</x:f>
        <x:v>0</x:v>
      </x:c>
      <x:c r="F240" s="6" t="str">
        <x:f>IFERROR(VLOOKUP(C240,Metric_Dictionary!$A:$I,8,FALSE),"")</x:f>
      </x:c>
      <x:c r="G240" s="6" t="str">
        <x:f>IFERROR(VLOOKUP(C240,Metric_Dictionary!$A:$I,4,FALSE),"")</x:f>
      </x:c>
      <x:c r="H240" s="6" t="str">
        <x:f>IFERROR(VLOOKUP(C240,Metric_Dictionary!$A:$I,9,FALSE),"")</x:f>
      </x:c>
      <x:c r="I240" s="6" t="str">
        <x:f>IFERROR(VLOOKUP(C240,Metric_Dictionary!$A:$I,5,FALSE),"")</x:f>
      </x:c>
      <x:c r="J240" s="6" t="str">
        <x:f>IFERROR(VLOOKUP(C240,Metric_Dictionary!$A:$I,6,FALSE),"")</x:f>
      </x:c>
      <x:c r="K240" s="6" t="str">
        <x:f>IFERROR(VLOOKUP(C240,Metric_Dictionary!$A:$I,7,FALSE),"")</x:f>
      </x:c>
    </x:row>
    <x:row r="241" ht="15.75" customHeight="1">
      <x:c r="A241" s="8" t="n">
        <x:f>Dashboard_Values!A242</x:f>
        <x:v>0</x:v>
      </x:c>
      <x:c r="B241" s="6" t="str">
        <x:f>IFERROR(VLOOKUP(C241,Metric_Dictionary!$A:$I,2,FALSE),"")</x:f>
      </x:c>
      <x:c r="C241" s="6" t="n">
        <x:f>Dashboard_Values!B242</x:f>
        <x:v>0</x:v>
      </x:c>
      <x:c r="D241" s="6" t="str">
        <x:f>IFERROR(VLOOKUP(C241,Metric_Dictionary!$A:$I,3,FALSE),"")</x:f>
      </x:c>
      <x:c r="E241" s="6" t="n">
        <x:f>Dashboard_Values!C242</x:f>
        <x:v>0</x:v>
      </x:c>
      <x:c r="F241" s="6" t="str">
        <x:f>IFERROR(VLOOKUP(C241,Metric_Dictionary!$A:$I,8,FALSE),"")</x:f>
      </x:c>
      <x:c r="G241" s="6" t="str">
        <x:f>IFERROR(VLOOKUP(C241,Metric_Dictionary!$A:$I,4,FALSE),"")</x:f>
      </x:c>
      <x:c r="H241" s="6" t="str">
        <x:f>IFERROR(VLOOKUP(C241,Metric_Dictionary!$A:$I,9,FALSE),"")</x:f>
      </x:c>
      <x:c r="I241" s="6" t="str">
        <x:f>IFERROR(VLOOKUP(C241,Metric_Dictionary!$A:$I,5,FALSE),"")</x:f>
      </x:c>
      <x:c r="J241" s="6" t="str">
        <x:f>IFERROR(VLOOKUP(C241,Metric_Dictionary!$A:$I,6,FALSE),"")</x:f>
      </x:c>
      <x:c r="K241" s="6" t="str">
        <x:f>IFERROR(VLOOKUP(C241,Metric_Dictionary!$A:$I,7,FALSE),"")</x:f>
      </x:c>
    </x:row>
    <x:row r="242" ht="15.75" customHeight="1">
      <x:c r="A242" s="8" t="n">
        <x:f>Dashboard_Values!A243</x:f>
        <x:v>0</x:v>
      </x:c>
      <x:c r="B242" s="6" t="str">
        <x:f>IFERROR(VLOOKUP(C242,Metric_Dictionary!$A:$I,2,FALSE),"")</x:f>
      </x:c>
      <x:c r="C242" s="6" t="n">
        <x:f>Dashboard_Values!B243</x:f>
        <x:v>0</x:v>
      </x:c>
      <x:c r="D242" s="6" t="str">
        <x:f>IFERROR(VLOOKUP(C242,Metric_Dictionary!$A:$I,3,FALSE),"")</x:f>
      </x:c>
      <x:c r="E242" s="6" t="n">
        <x:f>Dashboard_Values!C243</x:f>
        <x:v>0</x:v>
      </x:c>
      <x:c r="F242" s="6" t="str">
        <x:f>IFERROR(VLOOKUP(C242,Metric_Dictionary!$A:$I,8,FALSE),"")</x:f>
      </x:c>
      <x:c r="G242" s="6" t="str">
        <x:f>IFERROR(VLOOKUP(C242,Metric_Dictionary!$A:$I,4,FALSE),"")</x:f>
      </x:c>
      <x:c r="H242" s="6" t="str">
        <x:f>IFERROR(VLOOKUP(C242,Metric_Dictionary!$A:$I,9,FALSE),"")</x:f>
      </x:c>
      <x:c r="I242" s="6" t="str">
        <x:f>IFERROR(VLOOKUP(C242,Metric_Dictionary!$A:$I,5,FALSE),"")</x:f>
      </x:c>
      <x:c r="J242" s="6" t="str">
        <x:f>IFERROR(VLOOKUP(C242,Metric_Dictionary!$A:$I,6,FALSE),"")</x:f>
      </x:c>
      <x:c r="K242" s="6" t="str">
        <x:f>IFERROR(VLOOKUP(C242,Metric_Dictionary!$A:$I,7,FALSE),"")</x:f>
      </x:c>
    </x:row>
    <x:row r="243" ht="15.75" customHeight="1">
      <x:c r="A243" s="8" t="n">
        <x:f>Dashboard_Values!A244</x:f>
        <x:v>0</x:v>
      </x:c>
      <x:c r="B243" s="6" t="str">
        <x:f>IFERROR(VLOOKUP(C243,Metric_Dictionary!$A:$I,2,FALSE),"")</x:f>
      </x:c>
      <x:c r="C243" s="6" t="n">
        <x:f>Dashboard_Values!B244</x:f>
        <x:v>0</x:v>
      </x:c>
      <x:c r="D243" s="6" t="str">
        <x:f>IFERROR(VLOOKUP(C243,Metric_Dictionary!$A:$I,3,FALSE),"")</x:f>
      </x:c>
      <x:c r="E243" s="6" t="n">
        <x:f>Dashboard_Values!C244</x:f>
        <x:v>0</x:v>
      </x:c>
      <x:c r="F243" s="6" t="str">
        <x:f>IFERROR(VLOOKUP(C243,Metric_Dictionary!$A:$I,8,FALSE),"")</x:f>
      </x:c>
      <x:c r="G243" s="6" t="str">
        <x:f>IFERROR(VLOOKUP(C243,Metric_Dictionary!$A:$I,4,FALSE),"")</x:f>
      </x:c>
      <x:c r="H243" s="6" t="str">
        <x:f>IFERROR(VLOOKUP(C243,Metric_Dictionary!$A:$I,9,FALSE),"")</x:f>
      </x:c>
      <x:c r="I243" s="6" t="str">
        <x:f>IFERROR(VLOOKUP(C243,Metric_Dictionary!$A:$I,5,FALSE),"")</x:f>
      </x:c>
      <x:c r="J243" s="6" t="str">
        <x:f>IFERROR(VLOOKUP(C243,Metric_Dictionary!$A:$I,6,FALSE),"")</x:f>
      </x:c>
      <x:c r="K243" s="6" t="str">
        <x:f>IFERROR(VLOOKUP(C243,Metric_Dictionary!$A:$I,7,FALSE),"")</x:f>
      </x:c>
    </x:row>
    <x:row r="244" ht="15.75" customHeight="1">
      <x:c r="A244" s="8" t="n">
        <x:f>Dashboard_Values!A245</x:f>
        <x:v>0</x:v>
      </x:c>
      <x:c r="B244" s="6" t="str">
        <x:f>IFERROR(VLOOKUP(C244,Metric_Dictionary!$A:$I,2,FALSE),"")</x:f>
      </x:c>
      <x:c r="C244" s="6" t="n">
        <x:f>Dashboard_Values!B245</x:f>
        <x:v>0</x:v>
      </x:c>
      <x:c r="D244" s="6" t="str">
        <x:f>IFERROR(VLOOKUP(C244,Metric_Dictionary!$A:$I,3,FALSE),"")</x:f>
      </x:c>
      <x:c r="E244" s="6" t="n">
        <x:f>Dashboard_Values!C245</x:f>
        <x:v>0</x:v>
      </x:c>
      <x:c r="F244" s="6" t="str">
        <x:f>IFERROR(VLOOKUP(C244,Metric_Dictionary!$A:$I,8,FALSE),"")</x:f>
      </x:c>
      <x:c r="G244" s="6" t="str">
        <x:f>IFERROR(VLOOKUP(C244,Metric_Dictionary!$A:$I,4,FALSE),"")</x:f>
      </x:c>
      <x:c r="H244" s="6" t="str">
        <x:f>IFERROR(VLOOKUP(C244,Metric_Dictionary!$A:$I,9,FALSE),"")</x:f>
      </x:c>
      <x:c r="I244" s="6" t="str">
        <x:f>IFERROR(VLOOKUP(C244,Metric_Dictionary!$A:$I,5,FALSE),"")</x:f>
      </x:c>
      <x:c r="J244" s="6" t="str">
        <x:f>IFERROR(VLOOKUP(C244,Metric_Dictionary!$A:$I,6,FALSE),"")</x:f>
      </x:c>
      <x:c r="K244" s="6" t="str">
        <x:f>IFERROR(VLOOKUP(C244,Metric_Dictionary!$A:$I,7,FALSE),"")</x:f>
      </x:c>
    </x:row>
    <x:row r="245" ht="15.75" customHeight="1">
      <x:c r="A245" s="8" t="n">
        <x:f>Dashboard_Values!A246</x:f>
        <x:v>0</x:v>
      </x:c>
      <x:c r="B245" s="6" t="str">
        <x:f>IFERROR(VLOOKUP(C245,Metric_Dictionary!$A:$I,2,FALSE),"")</x:f>
      </x:c>
      <x:c r="C245" s="6" t="n">
        <x:f>Dashboard_Values!B246</x:f>
        <x:v>0</x:v>
      </x:c>
      <x:c r="D245" s="6" t="str">
        <x:f>IFERROR(VLOOKUP(C245,Metric_Dictionary!$A:$I,3,FALSE),"")</x:f>
      </x:c>
      <x:c r="E245" s="6" t="n">
        <x:f>Dashboard_Values!C246</x:f>
        <x:v>0</x:v>
      </x:c>
      <x:c r="F245" s="6" t="str">
        <x:f>IFERROR(VLOOKUP(C245,Metric_Dictionary!$A:$I,8,FALSE),"")</x:f>
      </x:c>
      <x:c r="G245" s="6" t="str">
        <x:f>IFERROR(VLOOKUP(C245,Metric_Dictionary!$A:$I,4,FALSE),"")</x:f>
      </x:c>
      <x:c r="H245" s="6" t="str">
        <x:f>IFERROR(VLOOKUP(C245,Metric_Dictionary!$A:$I,9,FALSE),"")</x:f>
      </x:c>
      <x:c r="I245" s="6" t="str">
        <x:f>IFERROR(VLOOKUP(C245,Metric_Dictionary!$A:$I,5,FALSE),"")</x:f>
      </x:c>
      <x:c r="J245" s="6" t="str">
        <x:f>IFERROR(VLOOKUP(C245,Metric_Dictionary!$A:$I,6,FALSE),"")</x:f>
      </x:c>
      <x:c r="K245" s="6" t="str">
        <x:f>IFERROR(VLOOKUP(C245,Metric_Dictionary!$A:$I,7,FALSE),"")</x:f>
      </x:c>
    </x:row>
    <x:row r="246" ht="15.75" customHeight="1">
      <x:c r="A246" s="8" t="n">
        <x:f>Dashboard_Values!A247</x:f>
        <x:v>0</x:v>
      </x:c>
      <x:c r="B246" s="6" t="str">
        <x:f>IFERROR(VLOOKUP(C246,Metric_Dictionary!$A:$I,2,FALSE),"")</x:f>
      </x:c>
      <x:c r="C246" s="6" t="n">
        <x:f>Dashboard_Values!B247</x:f>
        <x:v>0</x:v>
      </x:c>
      <x:c r="D246" s="6" t="str">
        <x:f>IFERROR(VLOOKUP(C246,Metric_Dictionary!$A:$I,3,FALSE),"")</x:f>
      </x:c>
      <x:c r="E246" s="6" t="n">
        <x:f>Dashboard_Values!C247</x:f>
        <x:v>0</x:v>
      </x:c>
      <x:c r="F246" s="6" t="str">
        <x:f>IFERROR(VLOOKUP(C246,Metric_Dictionary!$A:$I,8,FALSE),"")</x:f>
      </x:c>
      <x:c r="G246" s="6" t="str">
        <x:f>IFERROR(VLOOKUP(C246,Metric_Dictionary!$A:$I,4,FALSE),"")</x:f>
      </x:c>
      <x:c r="H246" s="6" t="str">
        <x:f>IFERROR(VLOOKUP(C246,Metric_Dictionary!$A:$I,9,FALSE),"")</x:f>
      </x:c>
      <x:c r="I246" s="6" t="str">
        <x:f>IFERROR(VLOOKUP(C246,Metric_Dictionary!$A:$I,5,FALSE),"")</x:f>
      </x:c>
      <x:c r="J246" s="6" t="str">
        <x:f>IFERROR(VLOOKUP(C246,Metric_Dictionary!$A:$I,6,FALSE),"")</x:f>
      </x:c>
      <x:c r="K246" s="6" t="str">
        <x:f>IFERROR(VLOOKUP(C246,Metric_Dictionary!$A:$I,7,FALSE),"")</x:f>
      </x:c>
    </x:row>
    <x:row r="247" ht="15.75" customHeight="1">
      <x:c r="A247" s="8" t="n">
        <x:f>Dashboard_Values!A248</x:f>
        <x:v>0</x:v>
      </x:c>
      <x:c r="B247" s="6" t="str">
        <x:f>IFERROR(VLOOKUP(C247,Metric_Dictionary!$A:$I,2,FALSE),"")</x:f>
      </x:c>
      <x:c r="C247" s="6" t="n">
        <x:f>Dashboard_Values!B248</x:f>
        <x:v>0</x:v>
      </x:c>
      <x:c r="D247" s="6" t="str">
        <x:f>IFERROR(VLOOKUP(C247,Metric_Dictionary!$A:$I,3,FALSE),"")</x:f>
      </x:c>
      <x:c r="E247" s="6" t="n">
        <x:f>Dashboard_Values!C248</x:f>
        <x:v>0</x:v>
      </x:c>
      <x:c r="F247" s="6" t="str">
        <x:f>IFERROR(VLOOKUP(C247,Metric_Dictionary!$A:$I,8,FALSE),"")</x:f>
      </x:c>
      <x:c r="G247" s="6" t="str">
        <x:f>IFERROR(VLOOKUP(C247,Metric_Dictionary!$A:$I,4,FALSE),"")</x:f>
      </x:c>
      <x:c r="H247" s="6" t="str">
        <x:f>IFERROR(VLOOKUP(C247,Metric_Dictionary!$A:$I,9,FALSE),"")</x:f>
      </x:c>
      <x:c r="I247" s="6" t="str">
        <x:f>IFERROR(VLOOKUP(C247,Metric_Dictionary!$A:$I,5,FALSE),"")</x:f>
      </x:c>
      <x:c r="J247" s="6" t="str">
        <x:f>IFERROR(VLOOKUP(C247,Metric_Dictionary!$A:$I,6,FALSE),"")</x:f>
      </x:c>
      <x:c r="K247" s="6" t="str">
        <x:f>IFERROR(VLOOKUP(C247,Metric_Dictionary!$A:$I,7,FALSE),"")</x:f>
      </x:c>
    </x:row>
    <x:row r="248" ht="15.75" customHeight="1">
      <x:c r="A248" s="8" t="n">
        <x:f>Dashboard_Values!A249</x:f>
        <x:v>0</x:v>
      </x:c>
      <x:c r="B248" s="6" t="str">
        <x:f>IFERROR(VLOOKUP(C248,Metric_Dictionary!$A:$I,2,FALSE),"")</x:f>
      </x:c>
      <x:c r="C248" s="6" t="n">
        <x:f>Dashboard_Values!B249</x:f>
        <x:v>0</x:v>
      </x:c>
      <x:c r="D248" s="6" t="str">
        <x:f>IFERROR(VLOOKUP(C248,Metric_Dictionary!$A:$I,3,FALSE),"")</x:f>
      </x:c>
      <x:c r="E248" s="6" t="n">
        <x:f>Dashboard_Values!C249</x:f>
        <x:v>0</x:v>
      </x:c>
      <x:c r="F248" s="6" t="str">
        <x:f>IFERROR(VLOOKUP(C248,Metric_Dictionary!$A:$I,8,FALSE),"")</x:f>
      </x:c>
      <x:c r="G248" s="6" t="str">
        <x:f>IFERROR(VLOOKUP(C248,Metric_Dictionary!$A:$I,4,FALSE),"")</x:f>
      </x:c>
      <x:c r="H248" s="6" t="str">
        <x:f>IFERROR(VLOOKUP(C248,Metric_Dictionary!$A:$I,9,FALSE),"")</x:f>
      </x:c>
      <x:c r="I248" s="6" t="str">
        <x:f>IFERROR(VLOOKUP(C248,Metric_Dictionary!$A:$I,5,FALSE),"")</x:f>
      </x:c>
      <x:c r="J248" s="6" t="str">
        <x:f>IFERROR(VLOOKUP(C248,Metric_Dictionary!$A:$I,6,FALSE),"")</x:f>
      </x:c>
      <x:c r="K248" s="6" t="str">
        <x:f>IFERROR(VLOOKUP(C248,Metric_Dictionary!$A:$I,7,FALSE),"")</x:f>
      </x:c>
    </x:row>
    <x:row r="249" ht="15.75" customHeight="1">
      <x:c r="A249" s="8" t="n">
        <x:f>Dashboard_Values!A250</x:f>
        <x:v>0</x:v>
      </x:c>
      <x:c r="B249" s="6" t="str">
        <x:f>IFERROR(VLOOKUP(C249,Metric_Dictionary!$A:$I,2,FALSE),"")</x:f>
      </x:c>
      <x:c r="C249" s="6" t="n">
        <x:f>Dashboard_Values!B250</x:f>
        <x:v>0</x:v>
      </x:c>
      <x:c r="D249" s="6" t="str">
        <x:f>IFERROR(VLOOKUP(C249,Metric_Dictionary!$A:$I,3,FALSE),"")</x:f>
      </x:c>
      <x:c r="E249" s="6" t="n">
        <x:f>Dashboard_Values!C250</x:f>
        <x:v>0</x:v>
      </x:c>
      <x:c r="F249" s="6" t="str">
        <x:f>IFERROR(VLOOKUP(C249,Metric_Dictionary!$A:$I,8,FALSE),"")</x:f>
      </x:c>
      <x:c r="G249" s="6" t="str">
        <x:f>IFERROR(VLOOKUP(C249,Metric_Dictionary!$A:$I,4,FALSE),"")</x:f>
      </x:c>
      <x:c r="H249" s="6" t="str">
        <x:f>IFERROR(VLOOKUP(C249,Metric_Dictionary!$A:$I,9,FALSE),"")</x:f>
      </x:c>
      <x:c r="I249" s="6" t="str">
        <x:f>IFERROR(VLOOKUP(C249,Metric_Dictionary!$A:$I,5,FALSE),"")</x:f>
      </x:c>
      <x:c r="J249" s="6" t="str">
        <x:f>IFERROR(VLOOKUP(C249,Metric_Dictionary!$A:$I,6,FALSE),"")</x:f>
      </x:c>
      <x:c r="K249" s="6" t="str">
        <x:f>IFERROR(VLOOKUP(C249,Metric_Dictionary!$A:$I,7,FALSE),"")</x:f>
      </x:c>
    </x:row>
    <x:row r="250" ht="15.75" customHeight="1">
      <x:c r="A250" s="8" t="n">
        <x:f>Dashboard_Values!A251</x:f>
        <x:v>0</x:v>
      </x:c>
      <x:c r="B250" s="6" t="str">
        <x:f>IFERROR(VLOOKUP(C250,Metric_Dictionary!$A:$I,2,FALSE),"")</x:f>
      </x:c>
      <x:c r="C250" s="6" t="n">
        <x:f>Dashboard_Values!B251</x:f>
        <x:v>0</x:v>
      </x:c>
      <x:c r="D250" s="6" t="str">
        <x:f>IFERROR(VLOOKUP(C250,Metric_Dictionary!$A:$I,3,FALSE),"")</x:f>
      </x:c>
      <x:c r="E250" s="6" t="n">
        <x:f>Dashboard_Values!C251</x:f>
        <x:v>0</x:v>
      </x:c>
      <x:c r="F250" s="6" t="str">
        <x:f>IFERROR(VLOOKUP(C250,Metric_Dictionary!$A:$I,8,FALSE),"")</x:f>
      </x:c>
      <x:c r="G250" s="6" t="str">
        <x:f>IFERROR(VLOOKUP(C250,Metric_Dictionary!$A:$I,4,FALSE),"")</x:f>
      </x:c>
      <x:c r="H250" s="6" t="str">
        <x:f>IFERROR(VLOOKUP(C250,Metric_Dictionary!$A:$I,9,FALSE),"")</x:f>
      </x:c>
      <x:c r="I250" s="6" t="str">
        <x:f>IFERROR(VLOOKUP(C250,Metric_Dictionary!$A:$I,5,FALSE),"")</x:f>
      </x:c>
      <x:c r="J250" s="6" t="str">
        <x:f>IFERROR(VLOOKUP(C250,Metric_Dictionary!$A:$I,6,FALSE),"")</x:f>
      </x:c>
      <x:c r="K250" s="6" t="str">
        <x:f>IFERROR(VLOOKUP(C250,Metric_Dictionary!$A:$I,7,FALSE),"")</x:f>
      </x:c>
    </x:row>
    <x:row r="251" ht="15.75" customHeight="1">
      <x:c r="A251" s="8" t="n">
        <x:f>Dashboard_Values!A252</x:f>
        <x:v>0</x:v>
      </x:c>
      <x:c r="B251" s="6" t="str">
        <x:f>IFERROR(VLOOKUP(C251,Metric_Dictionary!$A:$I,2,FALSE),"")</x:f>
      </x:c>
      <x:c r="C251" s="6" t="n">
        <x:f>Dashboard_Values!B252</x:f>
        <x:v>0</x:v>
      </x:c>
      <x:c r="D251" s="6" t="str">
        <x:f>IFERROR(VLOOKUP(C251,Metric_Dictionary!$A:$I,3,FALSE),"")</x:f>
      </x:c>
      <x:c r="E251" s="6" t="n">
        <x:f>Dashboard_Values!C252</x:f>
        <x:v>0</x:v>
      </x:c>
      <x:c r="F251" s="6" t="str">
        <x:f>IFERROR(VLOOKUP(C251,Metric_Dictionary!$A:$I,8,FALSE),"")</x:f>
      </x:c>
      <x:c r="G251" s="6" t="str">
        <x:f>IFERROR(VLOOKUP(C251,Metric_Dictionary!$A:$I,4,FALSE),"")</x:f>
      </x:c>
      <x:c r="H251" s="6" t="str">
        <x:f>IFERROR(VLOOKUP(C251,Metric_Dictionary!$A:$I,9,FALSE),"")</x:f>
      </x:c>
      <x:c r="I251" s="6" t="str">
        <x:f>IFERROR(VLOOKUP(C251,Metric_Dictionary!$A:$I,5,FALSE),"")</x:f>
      </x:c>
      <x:c r="J251" s="6" t="str">
        <x:f>IFERROR(VLOOKUP(C251,Metric_Dictionary!$A:$I,6,FALSE),"")</x:f>
      </x:c>
      <x:c r="K251" s="6" t="str">
        <x:f>IFERROR(VLOOKUP(C251,Metric_Dictionary!$A:$I,7,FALSE),"")</x:f>
      </x:c>
    </x:row>
    <x:row r="252" ht="15.75" customHeight="1">
      <x:c r="A252" s="8" t="n">
        <x:f>Dashboard_Values!A253</x:f>
        <x:v>0</x:v>
      </x:c>
      <x:c r="B252" s="6" t="str">
        <x:f>IFERROR(VLOOKUP(C252,Metric_Dictionary!$A:$I,2,FALSE),"")</x:f>
      </x:c>
      <x:c r="C252" s="6" t="n">
        <x:f>Dashboard_Values!B253</x:f>
        <x:v>0</x:v>
      </x:c>
      <x:c r="D252" s="6" t="str">
        <x:f>IFERROR(VLOOKUP(C252,Metric_Dictionary!$A:$I,3,FALSE),"")</x:f>
      </x:c>
      <x:c r="E252" s="6" t="n">
        <x:f>Dashboard_Values!C253</x:f>
        <x:v>0</x:v>
      </x:c>
      <x:c r="F252" s="6" t="str">
        <x:f>IFERROR(VLOOKUP(C252,Metric_Dictionary!$A:$I,8,FALSE),"")</x:f>
      </x:c>
      <x:c r="G252" s="6" t="str">
        <x:f>IFERROR(VLOOKUP(C252,Metric_Dictionary!$A:$I,4,FALSE),"")</x:f>
      </x:c>
      <x:c r="H252" s="6" t="str">
        <x:f>IFERROR(VLOOKUP(C252,Metric_Dictionary!$A:$I,9,FALSE),"")</x:f>
      </x:c>
      <x:c r="I252" s="6" t="str">
        <x:f>IFERROR(VLOOKUP(C252,Metric_Dictionary!$A:$I,5,FALSE),"")</x:f>
      </x:c>
      <x:c r="J252" s="6" t="str">
        <x:f>IFERROR(VLOOKUP(C252,Metric_Dictionary!$A:$I,6,FALSE),"")</x:f>
      </x:c>
      <x:c r="K252" s="6" t="str">
        <x:f>IFERROR(VLOOKUP(C252,Metric_Dictionary!$A:$I,7,FALSE),"")</x:f>
      </x:c>
    </x:row>
    <x:row r="253" ht="15.75" customHeight="1">
      <x:c r="A253" s="8" t="n">
        <x:f>Dashboard_Values!A254</x:f>
        <x:v>0</x:v>
      </x:c>
      <x:c r="B253" s="6" t="str">
        <x:f>IFERROR(VLOOKUP(C253,Metric_Dictionary!$A:$I,2,FALSE),"")</x:f>
      </x:c>
      <x:c r="C253" s="6" t="n">
        <x:f>Dashboard_Values!B254</x:f>
        <x:v>0</x:v>
      </x:c>
      <x:c r="D253" s="6" t="str">
        <x:f>IFERROR(VLOOKUP(C253,Metric_Dictionary!$A:$I,3,FALSE),"")</x:f>
      </x:c>
      <x:c r="E253" s="6" t="n">
        <x:f>Dashboard_Values!C254</x:f>
        <x:v>0</x:v>
      </x:c>
      <x:c r="F253" s="6" t="str">
        <x:f>IFERROR(VLOOKUP(C253,Metric_Dictionary!$A:$I,8,FALSE),"")</x:f>
      </x:c>
      <x:c r="G253" s="6" t="str">
        <x:f>IFERROR(VLOOKUP(C253,Metric_Dictionary!$A:$I,4,FALSE),"")</x:f>
      </x:c>
      <x:c r="H253" s="6" t="str">
        <x:f>IFERROR(VLOOKUP(C253,Metric_Dictionary!$A:$I,9,FALSE),"")</x:f>
      </x:c>
      <x:c r="I253" s="6" t="str">
        <x:f>IFERROR(VLOOKUP(C253,Metric_Dictionary!$A:$I,5,FALSE),"")</x:f>
      </x:c>
      <x:c r="J253" s="6" t="str">
        <x:f>IFERROR(VLOOKUP(C253,Metric_Dictionary!$A:$I,6,FALSE),"")</x:f>
      </x:c>
      <x:c r="K253" s="6" t="str">
        <x:f>IFERROR(VLOOKUP(C253,Metric_Dictionary!$A:$I,7,FALSE),"")</x:f>
      </x:c>
    </x:row>
    <x:row r="254" ht="15.75" customHeight="1">
      <x:c r="A254" s="8" t="n">
        <x:f>Dashboard_Values!A255</x:f>
        <x:v>0</x:v>
      </x:c>
      <x:c r="B254" s="6" t="str">
        <x:f>IFERROR(VLOOKUP(C254,Metric_Dictionary!$A:$I,2,FALSE),"")</x:f>
      </x:c>
      <x:c r="C254" s="6" t="n">
        <x:f>Dashboard_Values!B255</x:f>
        <x:v>0</x:v>
      </x:c>
      <x:c r="D254" s="6" t="str">
        <x:f>IFERROR(VLOOKUP(C254,Metric_Dictionary!$A:$I,3,FALSE),"")</x:f>
      </x:c>
      <x:c r="E254" s="6" t="n">
        <x:f>Dashboard_Values!C255</x:f>
        <x:v>0</x:v>
      </x:c>
      <x:c r="F254" s="6" t="str">
        <x:f>IFERROR(VLOOKUP(C254,Metric_Dictionary!$A:$I,8,FALSE),"")</x:f>
      </x:c>
      <x:c r="G254" s="6" t="str">
        <x:f>IFERROR(VLOOKUP(C254,Metric_Dictionary!$A:$I,4,FALSE),"")</x:f>
      </x:c>
      <x:c r="H254" s="6" t="str">
        <x:f>IFERROR(VLOOKUP(C254,Metric_Dictionary!$A:$I,9,FALSE),"")</x:f>
      </x:c>
      <x:c r="I254" s="6" t="str">
        <x:f>IFERROR(VLOOKUP(C254,Metric_Dictionary!$A:$I,5,FALSE),"")</x:f>
      </x:c>
      <x:c r="J254" s="6" t="str">
        <x:f>IFERROR(VLOOKUP(C254,Metric_Dictionary!$A:$I,6,FALSE),"")</x:f>
      </x:c>
      <x:c r="K254" s="6" t="str">
        <x:f>IFERROR(VLOOKUP(C254,Metric_Dictionary!$A:$I,7,FALSE),"")</x:f>
      </x:c>
    </x:row>
    <x:row r="255" ht="15.75" customHeight="1">
      <x:c r="A255" s="8" t="n">
        <x:f>Dashboard_Values!A256</x:f>
        <x:v>0</x:v>
      </x:c>
      <x:c r="B255" s="6" t="str">
        <x:f>IFERROR(VLOOKUP(C255,Metric_Dictionary!$A:$I,2,FALSE),"")</x:f>
      </x:c>
      <x:c r="C255" s="6" t="n">
        <x:f>Dashboard_Values!B256</x:f>
        <x:v>0</x:v>
      </x:c>
      <x:c r="D255" s="6" t="str">
        <x:f>IFERROR(VLOOKUP(C255,Metric_Dictionary!$A:$I,3,FALSE),"")</x:f>
      </x:c>
      <x:c r="E255" s="6" t="n">
        <x:f>Dashboard_Values!C256</x:f>
        <x:v>0</x:v>
      </x:c>
      <x:c r="F255" s="6" t="str">
        <x:f>IFERROR(VLOOKUP(C255,Metric_Dictionary!$A:$I,8,FALSE),"")</x:f>
      </x:c>
      <x:c r="G255" s="6" t="str">
        <x:f>IFERROR(VLOOKUP(C255,Metric_Dictionary!$A:$I,4,FALSE),"")</x:f>
      </x:c>
      <x:c r="H255" s="6" t="str">
        <x:f>IFERROR(VLOOKUP(C255,Metric_Dictionary!$A:$I,9,FALSE),"")</x:f>
      </x:c>
      <x:c r="I255" s="6" t="str">
        <x:f>IFERROR(VLOOKUP(C255,Metric_Dictionary!$A:$I,5,FALSE),"")</x:f>
      </x:c>
      <x:c r="J255" s="6" t="str">
        <x:f>IFERROR(VLOOKUP(C255,Metric_Dictionary!$A:$I,6,FALSE),"")</x:f>
      </x:c>
      <x:c r="K255" s="6" t="str">
        <x:f>IFERROR(VLOOKUP(C255,Metric_Dictionary!$A:$I,7,FALSE),"")</x:f>
      </x:c>
    </x:row>
    <x:row r="256" ht="15.75" customHeight="1">
      <x:c r="A256" s="8" t="n">
        <x:f>Dashboard_Values!A257</x:f>
        <x:v>0</x:v>
      </x:c>
      <x:c r="B256" s="6" t="str">
        <x:f>IFERROR(VLOOKUP(C256,Metric_Dictionary!$A:$I,2,FALSE),"")</x:f>
      </x:c>
      <x:c r="C256" s="6" t="n">
        <x:f>Dashboard_Values!B257</x:f>
        <x:v>0</x:v>
      </x:c>
      <x:c r="D256" s="6" t="str">
        <x:f>IFERROR(VLOOKUP(C256,Metric_Dictionary!$A:$I,3,FALSE),"")</x:f>
      </x:c>
      <x:c r="E256" s="6" t="n">
        <x:f>Dashboard_Values!C257</x:f>
        <x:v>0</x:v>
      </x:c>
      <x:c r="F256" s="6" t="str">
        <x:f>IFERROR(VLOOKUP(C256,Metric_Dictionary!$A:$I,8,FALSE),"")</x:f>
      </x:c>
      <x:c r="G256" s="6" t="str">
        <x:f>IFERROR(VLOOKUP(C256,Metric_Dictionary!$A:$I,4,FALSE),"")</x:f>
      </x:c>
      <x:c r="H256" s="6" t="str">
        <x:f>IFERROR(VLOOKUP(C256,Metric_Dictionary!$A:$I,9,FALSE),"")</x:f>
      </x:c>
      <x:c r="I256" s="6" t="str">
        <x:f>IFERROR(VLOOKUP(C256,Metric_Dictionary!$A:$I,5,FALSE),"")</x:f>
      </x:c>
      <x:c r="J256" s="6" t="str">
        <x:f>IFERROR(VLOOKUP(C256,Metric_Dictionary!$A:$I,6,FALSE),"")</x:f>
      </x:c>
      <x:c r="K256" s="6" t="str">
        <x:f>IFERROR(VLOOKUP(C256,Metric_Dictionary!$A:$I,7,FALSE),"")</x:f>
      </x:c>
    </x:row>
    <x:row r="257" ht="15.75" customHeight="1">
      <x:c r="A257" s="8" t="n">
        <x:f>Dashboard_Values!A258</x:f>
        <x:v>0</x:v>
      </x:c>
      <x:c r="B257" s="6" t="str">
        <x:f>IFERROR(VLOOKUP(C257,Metric_Dictionary!$A:$I,2,FALSE),"")</x:f>
      </x:c>
      <x:c r="C257" s="6" t="n">
        <x:f>Dashboard_Values!B258</x:f>
        <x:v>0</x:v>
      </x:c>
      <x:c r="D257" s="6" t="str">
        <x:f>IFERROR(VLOOKUP(C257,Metric_Dictionary!$A:$I,3,FALSE),"")</x:f>
      </x:c>
      <x:c r="E257" s="6" t="n">
        <x:f>Dashboard_Values!C258</x:f>
        <x:v>0</x:v>
      </x:c>
      <x:c r="F257" s="6" t="str">
        <x:f>IFERROR(VLOOKUP(C257,Metric_Dictionary!$A:$I,8,FALSE),"")</x:f>
      </x:c>
      <x:c r="G257" s="6" t="str">
        <x:f>IFERROR(VLOOKUP(C257,Metric_Dictionary!$A:$I,4,FALSE),"")</x:f>
      </x:c>
      <x:c r="H257" s="6" t="str">
        <x:f>IFERROR(VLOOKUP(C257,Metric_Dictionary!$A:$I,9,FALSE),"")</x:f>
      </x:c>
      <x:c r="I257" s="6" t="str">
        <x:f>IFERROR(VLOOKUP(C257,Metric_Dictionary!$A:$I,5,FALSE),"")</x:f>
      </x:c>
      <x:c r="J257" s="6" t="str">
        <x:f>IFERROR(VLOOKUP(C257,Metric_Dictionary!$A:$I,6,FALSE),"")</x:f>
      </x:c>
      <x:c r="K257" s="6" t="str">
        <x:f>IFERROR(VLOOKUP(C257,Metric_Dictionary!$A:$I,7,FALSE),"")</x:f>
      </x:c>
    </x:row>
    <x:row r="258" ht="15.75" customHeight="1">
      <x:c r="A258" s="8" t="n">
        <x:f>Dashboard_Values!A259</x:f>
        <x:v>0</x:v>
      </x:c>
      <x:c r="B258" s="6" t="str">
        <x:f>IFERROR(VLOOKUP(C258,Metric_Dictionary!$A:$I,2,FALSE),"")</x:f>
      </x:c>
      <x:c r="C258" s="6" t="n">
        <x:f>Dashboard_Values!B259</x:f>
        <x:v>0</x:v>
      </x:c>
      <x:c r="D258" s="6" t="str">
        <x:f>IFERROR(VLOOKUP(C258,Metric_Dictionary!$A:$I,3,FALSE),"")</x:f>
      </x:c>
      <x:c r="E258" s="6" t="n">
        <x:f>Dashboard_Values!C259</x:f>
        <x:v>0</x:v>
      </x:c>
      <x:c r="F258" s="6" t="str">
        <x:f>IFERROR(VLOOKUP(C258,Metric_Dictionary!$A:$I,8,FALSE),"")</x:f>
      </x:c>
      <x:c r="G258" s="6" t="str">
        <x:f>IFERROR(VLOOKUP(C258,Metric_Dictionary!$A:$I,4,FALSE),"")</x:f>
      </x:c>
      <x:c r="H258" s="6" t="str">
        <x:f>IFERROR(VLOOKUP(C258,Metric_Dictionary!$A:$I,9,FALSE),"")</x:f>
      </x:c>
      <x:c r="I258" s="6" t="str">
        <x:f>IFERROR(VLOOKUP(C258,Metric_Dictionary!$A:$I,5,FALSE),"")</x:f>
      </x:c>
      <x:c r="J258" s="6" t="str">
        <x:f>IFERROR(VLOOKUP(C258,Metric_Dictionary!$A:$I,6,FALSE),"")</x:f>
      </x:c>
      <x:c r="K258" s="6" t="str">
        <x:f>IFERROR(VLOOKUP(C258,Metric_Dictionary!$A:$I,7,FALSE),"")</x:f>
      </x:c>
    </x:row>
    <x:row r="259" ht="15.75" customHeight="1">
      <x:c r="A259" s="8" t="n">
        <x:f>Dashboard_Values!A260</x:f>
        <x:v>0</x:v>
      </x:c>
      <x:c r="B259" s="6" t="str">
        <x:f>IFERROR(VLOOKUP(C259,Metric_Dictionary!$A:$I,2,FALSE),"")</x:f>
      </x:c>
      <x:c r="C259" s="6" t="n">
        <x:f>Dashboard_Values!B260</x:f>
        <x:v>0</x:v>
      </x:c>
      <x:c r="D259" s="6" t="str">
        <x:f>IFERROR(VLOOKUP(C259,Metric_Dictionary!$A:$I,3,FALSE),"")</x:f>
      </x:c>
      <x:c r="E259" s="6" t="n">
        <x:f>Dashboard_Values!C260</x:f>
        <x:v>0</x:v>
      </x:c>
      <x:c r="F259" s="6" t="str">
        <x:f>IFERROR(VLOOKUP(C259,Metric_Dictionary!$A:$I,8,FALSE),"")</x:f>
      </x:c>
      <x:c r="G259" s="6" t="str">
        <x:f>IFERROR(VLOOKUP(C259,Metric_Dictionary!$A:$I,4,FALSE),"")</x:f>
      </x:c>
      <x:c r="H259" s="6" t="str">
        <x:f>IFERROR(VLOOKUP(C259,Metric_Dictionary!$A:$I,9,FALSE),"")</x:f>
      </x:c>
      <x:c r="I259" s="6" t="str">
        <x:f>IFERROR(VLOOKUP(C259,Metric_Dictionary!$A:$I,5,FALSE),"")</x:f>
      </x:c>
      <x:c r="J259" s="6" t="str">
        <x:f>IFERROR(VLOOKUP(C259,Metric_Dictionary!$A:$I,6,FALSE),"")</x:f>
      </x:c>
      <x:c r="K259" s="6" t="str">
        <x:f>IFERROR(VLOOKUP(C259,Metric_Dictionary!$A:$I,7,FALSE),"")</x:f>
      </x:c>
    </x:row>
    <x:row r="260" ht="15.75" customHeight="1">
      <x:c r="A260" s="8" t="n">
        <x:f>Dashboard_Values!A261</x:f>
        <x:v>0</x:v>
      </x:c>
      <x:c r="B260" s="6" t="str">
        <x:f>IFERROR(VLOOKUP(C260,Metric_Dictionary!$A:$I,2,FALSE),"")</x:f>
      </x:c>
      <x:c r="C260" s="6" t="n">
        <x:f>Dashboard_Values!B261</x:f>
        <x:v>0</x:v>
      </x:c>
      <x:c r="D260" s="6" t="str">
        <x:f>IFERROR(VLOOKUP(C260,Metric_Dictionary!$A:$I,3,FALSE),"")</x:f>
      </x:c>
      <x:c r="E260" s="6" t="n">
        <x:f>Dashboard_Values!C261</x:f>
        <x:v>0</x:v>
      </x:c>
      <x:c r="F260" s="6" t="str">
        <x:f>IFERROR(VLOOKUP(C260,Metric_Dictionary!$A:$I,8,FALSE),"")</x:f>
      </x:c>
      <x:c r="G260" s="6" t="str">
        <x:f>IFERROR(VLOOKUP(C260,Metric_Dictionary!$A:$I,4,FALSE),"")</x:f>
      </x:c>
      <x:c r="H260" s="6" t="str">
        <x:f>IFERROR(VLOOKUP(C260,Metric_Dictionary!$A:$I,9,FALSE),"")</x:f>
      </x:c>
      <x:c r="I260" s="6" t="str">
        <x:f>IFERROR(VLOOKUP(C260,Metric_Dictionary!$A:$I,5,FALSE),"")</x:f>
      </x:c>
      <x:c r="J260" s="6" t="str">
        <x:f>IFERROR(VLOOKUP(C260,Metric_Dictionary!$A:$I,6,FALSE),"")</x:f>
      </x:c>
      <x:c r="K260" s="6" t="str">
        <x:f>IFERROR(VLOOKUP(C260,Metric_Dictionary!$A:$I,7,FALSE),"")</x:f>
      </x:c>
    </x:row>
    <x:row r="261" ht="15.75" customHeight="1">
      <x:c r="A261" s="8" t="n">
        <x:f>Dashboard_Values!A262</x:f>
        <x:v>0</x:v>
      </x:c>
      <x:c r="B261" s="6" t="str">
        <x:f>IFERROR(VLOOKUP(C261,Metric_Dictionary!$A:$I,2,FALSE),"")</x:f>
      </x:c>
      <x:c r="C261" s="6" t="n">
        <x:f>Dashboard_Values!B262</x:f>
        <x:v>0</x:v>
      </x:c>
      <x:c r="D261" s="6" t="str">
        <x:f>IFERROR(VLOOKUP(C261,Metric_Dictionary!$A:$I,3,FALSE),"")</x:f>
      </x:c>
      <x:c r="E261" s="6" t="n">
        <x:f>Dashboard_Values!C262</x:f>
        <x:v>0</x:v>
      </x:c>
      <x:c r="F261" s="6" t="str">
        <x:f>IFERROR(VLOOKUP(C261,Metric_Dictionary!$A:$I,8,FALSE),"")</x:f>
      </x:c>
      <x:c r="G261" s="6" t="str">
        <x:f>IFERROR(VLOOKUP(C261,Metric_Dictionary!$A:$I,4,FALSE),"")</x:f>
      </x:c>
      <x:c r="H261" s="6" t="str">
        <x:f>IFERROR(VLOOKUP(C261,Metric_Dictionary!$A:$I,9,FALSE),"")</x:f>
      </x:c>
      <x:c r="I261" s="6" t="str">
        <x:f>IFERROR(VLOOKUP(C261,Metric_Dictionary!$A:$I,5,FALSE),"")</x:f>
      </x:c>
      <x:c r="J261" s="6" t="str">
        <x:f>IFERROR(VLOOKUP(C261,Metric_Dictionary!$A:$I,6,FALSE),"")</x:f>
      </x:c>
      <x:c r="K261" s="6" t="str">
        <x:f>IFERROR(VLOOKUP(C261,Metric_Dictionary!$A:$I,7,FALSE),"")</x:f>
      </x:c>
    </x:row>
    <x:row r="262" ht="15.75" customHeight="1">
      <x:c r="A262" s="8" t="n">
        <x:f>Dashboard_Values!A263</x:f>
        <x:v>0</x:v>
      </x:c>
      <x:c r="B262" s="6" t="str">
        <x:f>IFERROR(VLOOKUP(C262,Metric_Dictionary!$A:$I,2,FALSE),"")</x:f>
      </x:c>
      <x:c r="C262" s="6" t="n">
        <x:f>Dashboard_Values!B263</x:f>
        <x:v>0</x:v>
      </x:c>
      <x:c r="D262" s="6" t="str">
        <x:f>IFERROR(VLOOKUP(C262,Metric_Dictionary!$A:$I,3,FALSE),"")</x:f>
      </x:c>
      <x:c r="E262" s="6" t="n">
        <x:f>Dashboard_Values!C263</x:f>
        <x:v>0</x:v>
      </x:c>
      <x:c r="F262" s="6" t="str">
        <x:f>IFERROR(VLOOKUP(C262,Metric_Dictionary!$A:$I,8,FALSE),"")</x:f>
      </x:c>
      <x:c r="G262" s="6" t="str">
        <x:f>IFERROR(VLOOKUP(C262,Metric_Dictionary!$A:$I,4,FALSE),"")</x:f>
      </x:c>
      <x:c r="H262" s="6" t="str">
        <x:f>IFERROR(VLOOKUP(C262,Metric_Dictionary!$A:$I,9,FALSE),"")</x:f>
      </x:c>
      <x:c r="I262" s="6" t="str">
        <x:f>IFERROR(VLOOKUP(C262,Metric_Dictionary!$A:$I,5,FALSE),"")</x:f>
      </x:c>
      <x:c r="J262" s="6" t="str">
        <x:f>IFERROR(VLOOKUP(C262,Metric_Dictionary!$A:$I,6,FALSE),"")</x:f>
      </x:c>
      <x:c r="K262" s="6" t="str">
        <x:f>IFERROR(VLOOKUP(C262,Metric_Dictionary!$A:$I,7,FALSE),"")</x:f>
      </x:c>
    </x:row>
    <x:row r="263" ht="15.75" customHeight="1">
      <x:c r="A263" s="8" t="n">
        <x:f>Dashboard_Values!A264</x:f>
        <x:v>0</x:v>
      </x:c>
      <x:c r="B263" s="6" t="str">
        <x:f>IFERROR(VLOOKUP(C263,Metric_Dictionary!$A:$I,2,FALSE),"")</x:f>
      </x:c>
      <x:c r="C263" s="6" t="n">
        <x:f>Dashboard_Values!B264</x:f>
        <x:v>0</x:v>
      </x:c>
      <x:c r="D263" s="6" t="str">
        <x:f>IFERROR(VLOOKUP(C263,Metric_Dictionary!$A:$I,3,FALSE),"")</x:f>
      </x:c>
      <x:c r="E263" s="6" t="n">
        <x:f>Dashboard_Values!C264</x:f>
        <x:v>0</x:v>
      </x:c>
      <x:c r="F263" s="6" t="str">
        <x:f>IFERROR(VLOOKUP(C263,Metric_Dictionary!$A:$I,8,FALSE),"")</x:f>
      </x:c>
      <x:c r="G263" s="6" t="str">
        <x:f>IFERROR(VLOOKUP(C263,Metric_Dictionary!$A:$I,4,FALSE),"")</x:f>
      </x:c>
      <x:c r="H263" s="6" t="str">
        <x:f>IFERROR(VLOOKUP(C263,Metric_Dictionary!$A:$I,9,FALSE),"")</x:f>
      </x:c>
      <x:c r="I263" s="6" t="str">
        <x:f>IFERROR(VLOOKUP(C263,Metric_Dictionary!$A:$I,5,FALSE),"")</x:f>
      </x:c>
      <x:c r="J263" s="6" t="str">
        <x:f>IFERROR(VLOOKUP(C263,Metric_Dictionary!$A:$I,6,FALSE),"")</x:f>
      </x:c>
      <x:c r="K263" s="6" t="str">
        <x:f>IFERROR(VLOOKUP(C263,Metric_Dictionary!$A:$I,7,FALSE),"")</x:f>
      </x:c>
    </x:row>
    <x:row r="264" ht="15.75" customHeight="1">
      <x:c r="A264" s="8" t="n">
        <x:f>Dashboard_Values!A265</x:f>
        <x:v>0</x:v>
      </x:c>
      <x:c r="B264" s="6" t="str">
        <x:f>IFERROR(VLOOKUP(C264,Metric_Dictionary!$A:$I,2,FALSE),"")</x:f>
      </x:c>
      <x:c r="C264" s="6" t="n">
        <x:f>Dashboard_Values!B265</x:f>
        <x:v>0</x:v>
      </x:c>
      <x:c r="D264" s="6" t="str">
        <x:f>IFERROR(VLOOKUP(C264,Metric_Dictionary!$A:$I,3,FALSE),"")</x:f>
      </x:c>
      <x:c r="E264" s="6" t="n">
        <x:f>Dashboard_Values!C265</x:f>
        <x:v>0</x:v>
      </x:c>
      <x:c r="F264" s="6" t="str">
        <x:f>IFERROR(VLOOKUP(C264,Metric_Dictionary!$A:$I,8,FALSE),"")</x:f>
      </x:c>
      <x:c r="G264" s="6" t="str">
        <x:f>IFERROR(VLOOKUP(C264,Metric_Dictionary!$A:$I,4,FALSE),"")</x:f>
      </x:c>
      <x:c r="H264" s="6" t="str">
        <x:f>IFERROR(VLOOKUP(C264,Metric_Dictionary!$A:$I,9,FALSE),"")</x:f>
      </x:c>
      <x:c r="I264" s="6" t="str">
        <x:f>IFERROR(VLOOKUP(C264,Metric_Dictionary!$A:$I,5,FALSE),"")</x:f>
      </x:c>
      <x:c r="J264" s="6" t="str">
        <x:f>IFERROR(VLOOKUP(C264,Metric_Dictionary!$A:$I,6,FALSE),"")</x:f>
      </x:c>
      <x:c r="K264" s="6" t="str">
        <x:f>IFERROR(VLOOKUP(C264,Metric_Dictionary!$A:$I,7,FALSE),"")</x:f>
      </x:c>
    </x:row>
    <x:row r="265" ht="15.75" customHeight="1">
      <x:c r="A265" s="8" t="n">
        <x:f>Dashboard_Values!A266</x:f>
        <x:v>0</x:v>
      </x:c>
      <x:c r="B265" s="6" t="str">
        <x:f>IFERROR(VLOOKUP(C265,Metric_Dictionary!$A:$I,2,FALSE),"")</x:f>
      </x:c>
      <x:c r="C265" s="6" t="n">
        <x:f>Dashboard_Values!B266</x:f>
        <x:v>0</x:v>
      </x:c>
      <x:c r="D265" s="6" t="str">
        <x:f>IFERROR(VLOOKUP(C265,Metric_Dictionary!$A:$I,3,FALSE),"")</x:f>
      </x:c>
      <x:c r="E265" s="6" t="n">
        <x:f>Dashboard_Values!C266</x:f>
        <x:v>0</x:v>
      </x:c>
      <x:c r="F265" s="6" t="str">
        <x:f>IFERROR(VLOOKUP(C265,Metric_Dictionary!$A:$I,8,FALSE),"")</x:f>
      </x:c>
      <x:c r="G265" s="6" t="str">
        <x:f>IFERROR(VLOOKUP(C265,Metric_Dictionary!$A:$I,4,FALSE),"")</x:f>
      </x:c>
      <x:c r="H265" s="6" t="str">
        <x:f>IFERROR(VLOOKUP(C265,Metric_Dictionary!$A:$I,9,FALSE),"")</x:f>
      </x:c>
      <x:c r="I265" s="6" t="str">
        <x:f>IFERROR(VLOOKUP(C265,Metric_Dictionary!$A:$I,5,FALSE),"")</x:f>
      </x:c>
      <x:c r="J265" s="6" t="str">
        <x:f>IFERROR(VLOOKUP(C265,Metric_Dictionary!$A:$I,6,FALSE),"")</x:f>
      </x:c>
      <x:c r="K265" s="6" t="str">
        <x:f>IFERROR(VLOOKUP(C265,Metric_Dictionary!$A:$I,7,FALSE),"")</x:f>
      </x:c>
    </x:row>
    <x:row r="266" ht="15.75" customHeight="1">
      <x:c r="A266" s="8" t="n">
        <x:f>Dashboard_Values!A267</x:f>
        <x:v>0</x:v>
      </x:c>
      <x:c r="B266" s="6" t="str">
        <x:f>IFERROR(VLOOKUP(C266,Metric_Dictionary!$A:$I,2,FALSE),"")</x:f>
      </x:c>
      <x:c r="C266" s="6" t="n">
        <x:f>Dashboard_Values!B267</x:f>
        <x:v>0</x:v>
      </x:c>
      <x:c r="D266" s="6" t="str">
        <x:f>IFERROR(VLOOKUP(C266,Metric_Dictionary!$A:$I,3,FALSE),"")</x:f>
      </x:c>
      <x:c r="E266" s="6" t="n">
        <x:f>Dashboard_Values!C267</x:f>
        <x:v>0</x:v>
      </x:c>
      <x:c r="F266" s="6" t="str">
        <x:f>IFERROR(VLOOKUP(C266,Metric_Dictionary!$A:$I,8,FALSE),"")</x:f>
      </x:c>
      <x:c r="G266" s="6" t="str">
        <x:f>IFERROR(VLOOKUP(C266,Metric_Dictionary!$A:$I,4,FALSE),"")</x:f>
      </x:c>
      <x:c r="H266" s="6" t="str">
        <x:f>IFERROR(VLOOKUP(C266,Metric_Dictionary!$A:$I,9,FALSE),"")</x:f>
      </x:c>
      <x:c r="I266" s="6" t="str">
        <x:f>IFERROR(VLOOKUP(C266,Metric_Dictionary!$A:$I,5,FALSE),"")</x:f>
      </x:c>
      <x:c r="J266" s="6" t="str">
        <x:f>IFERROR(VLOOKUP(C266,Metric_Dictionary!$A:$I,6,FALSE),"")</x:f>
      </x:c>
      <x:c r="K266" s="6" t="str">
        <x:f>IFERROR(VLOOKUP(C266,Metric_Dictionary!$A:$I,7,FALSE),"")</x:f>
      </x:c>
    </x:row>
    <x:row r="267" ht="15.75" customHeight="1">
      <x:c r="A267" s="8" t="n">
        <x:f>Dashboard_Values!A268</x:f>
        <x:v>0</x:v>
      </x:c>
      <x:c r="B267" s="6" t="str">
        <x:f>IFERROR(VLOOKUP(C267,Metric_Dictionary!$A:$I,2,FALSE),"")</x:f>
      </x:c>
      <x:c r="C267" s="6" t="n">
        <x:f>Dashboard_Values!B268</x:f>
        <x:v>0</x:v>
      </x:c>
      <x:c r="D267" s="6" t="str">
        <x:f>IFERROR(VLOOKUP(C267,Metric_Dictionary!$A:$I,3,FALSE),"")</x:f>
      </x:c>
      <x:c r="E267" s="6" t="n">
        <x:f>Dashboard_Values!C268</x:f>
        <x:v>0</x:v>
      </x:c>
      <x:c r="F267" s="6" t="str">
        <x:f>IFERROR(VLOOKUP(C267,Metric_Dictionary!$A:$I,8,FALSE),"")</x:f>
      </x:c>
      <x:c r="G267" s="6" t="str">
        <x:f>IFERROR(VLOOKUP(C267,Metric_Dictionary!$A:$I,4,FALSE),"")</x:f>
      </x:c>
      <x:c r="H267" s="6" t="str">
        <x:f>IFERROR(VLOOKUP(C267,Metric_Dictionary!$A:$I,9,FALSE),"")</x:f>
      </x:c>
      <x:c r="I267" s="6" t="str">
        <x:f>IFERROR(VLOOKUP(C267,Metric_Dictionary!$A:$I,5,FALSE),"")</x:f>
      </x:c>
      <x:c r="J267" s="6" t="str">
        <x:f>IFERROR(VLOOKUP(C267,Metric_Dictionary!$A:$I,6,FALSE),"")</x:f>
      </x:c>
      <x:c r="K267" s="6" t="str">
        <x:f>IFERROR(VLOOKUP(C267,Metric_Dictionary!$A:$I,7,FALSE),"")</x:f>
      </x:c>
    </x:row>
    <x:row r="268" ht="15.75" customHeight="1">
      <x:c r="A268" s="8" t="n">
        <x:f>Dashboard_Values!A269</x:f>
        <x:v>0</x:v>
      </x:c>
      <x:c r="B268" s="6" t="str">
        <x:f>IFERROR(VLOOKUP(C268,Metric_Dictionary!$A:$I,2,FALSE),"")</x:f>
      </x:c>
      <x:c r="C268" s="6" t="n">
        <x:f>Dashboard_Values!B269</x:f>
        <x:v>0</x:v>
      </x:c>
      <x:c r="D268" s="6" t="str">
        <x:f>IFERROR(VLOOKUP(C268,Metric_Dictionary!$A:$I,3,FALSE),"")</x:f>
      </x:c>
      <x:c r="E268" s="6" t="n">
        <x:f>Dashboard_Values!C269</x:f>
        <x:v>0</x:v>
      </x:c>
      <x:c r="F268" s="6" t="str">
        <x:f>IFERROR(VLOOKUP(C268,Metric_Dictionary!$A:$I,8,FALSE),"")</x:f>
      </x:c>
      <x:c r="G268" s="6" t="str">
        <x:f>IFERROR(VLOOKUP(C268,Metric_Dictionary!$A:$I,4,FALSE),"")</x:f>
      </x:c>
      <x:c r="H268" s="6" t="str">
        <x:f>IFERROR(VLOOKUP(C268,Metric_Dictionary!$A:$I,9,FALSE),"")</x:f>
      </x:c>
      <x:c r="I268" s="6" t="str">
        <x:f>IFERROR(VLOOKUP(C268,Metric_Dictionary!$A:$I,5,FALSE),"")</x:f>
      </x:c>
      <x:c r="J268" s="6" t="str">
        <x:f>IFERROR(VLOOKUP(C268,Metric_Dictionary!$A:$I,6,FALSE),"")</x:f>
      </x:c>
      <x:c r="K268" s="6" t="str">
        <x:f>IFERROR(VLOOKUP(C268,Metric_Dictionary!$A:$I,7,FALSE),"")</x:f>
      </x:c>
    </x:row>
    <x:row r="269" ht="15.75" customHeight="1">
      <x:c r="A269" s="8" t="n">
        <x:f>Dashboard_Values!A270</x:f>
        <x:v>0</x:v>
      </x:c>
      <x:c r="B269" s="6" t="str">
        <x:f>IFERROR(VLOOKUP(C269,Metric_Dictionary!$A:$I,2,FALSE),"")</x:f>
      </x:c>
      <x:c r="C269" s="6" t="n">
        <x:f>Dashboard_Values!B270</x:f>
        <x:v>0</x:v>
      </x:c>
      <x:c r="D269" s="6" t="str">
        <x:f>IFERROR(VLOOKUP(C269,Metric_Dictionary!$A:$I,3,FALSE),"")</x:f>
      </x:c>
      <x:c r="E269" s="6" t="n">
        <x:f>Dashboard_Values!C270</x:f>
        <x:v>0</x:v>
      </x:c>
      <x:c r="F269" s="6" t="str">
        <x:f>IFERROR(VLOOKUP(C269,Metric_Dictionary!$A:$I,8,FALSE),"")</x:f>
      </x:c>
      <x:c r="G269" s="6" t="str">
        <x:f>IFERROR(VLOOKUP(C269,Metric_Dictionary!$A:$I,4,FALSE),"")</x:f>
      </x:c>
      <x:c r="H269" s="6" t="str">
        <x:f>IFERROR(VLOOKUP(C269,Metric_Dictionary!$A:$I,9,FALSE),"")</x:f>
      </x:c>
      <x:c r="I269" s="6" t="str">
        <x:f>IFERROR(VLOOKUP(C269,Metric_Dictionary!$A:$I,5,FALSE),"")</x:f>
      </x:c>
      <x:c r="J269" s="6" t="str">
        <x:f>IFERROR(VLOOKUP(C269,Metric_Dictionary!$A:$I,6,FALSE),"")</x:f>
      </x:c>
      <x:c r="K269" s="6" t="str">
        <x:f>IFERROR(VLOOKUP(C269,Metric_Dictionary!$A:$I,7,FALSE),"")</x:f>
      </x:c>
    </x:row>
    <x:row r="270" ht="15.75" customHeight="1">
      <x:c r="A270" s="8" t="n">
        <x:f>Dashboard_Values!A271</x:f>
        <x:v>0</x:v>
      </x:c>
      <x:c r="B270" s="6" t="str">
        <x:f>IFERROR(VLOOKUP(C270,Metric_Dictionary!$A:$I,2,FALSE),"")</x:f>
      </x:c>
      <x:c r="C270" s="6" t="n">
        <x:f>Dashboard_Values!B271</x:f>
        <x:v>0</x:v>
      </x:c>
      <x:c r="D270" s="6" t="str">
        <x:f>IFERROR(VLOOKUP(C270,Metric_Dictionary!$A:$I,3,FALSE),"")</x:f>
      </x:c>
      <x:c r="E270" s="6" t="n">
        <x:f>Dashboard_Values!C271</x:f>
        <x:v>0</x:v>
      </x:c>
      <x:c r="F270" s="6" t="str">
        <x:f>IFERROR(VLOOKUP(C270,Metric_Dictionary!$A:$I,8,FALSE),"")</x:f>
      </x:c>
      <x:c r="G270" s="6" t="str">
        <x:f>IFERROR(VLOOKUP(C270,Metric_Dictionary!$A:$I,4,FALSE),"")</x:f>
      </x:c>
      <x:c r="H270" s="6" t="str">
        <x:f>IFERROR(VLOOKUP(C270,Metric_Dictionary!$A:$I,9,FALSE),"")</x:f>
      </x:c>
      <x:c r="I270" s="6" t="str">
        <x:f>IFERROR(VLOOKUP(C270,Metric_Dictionary!$A:$I,5,FALSE),"")</x:f>
      </x:c>
      <x:c r="J270" s="6" t="str">
        <x:f>IFERROR(VLOOKUP(C270,Metric_Dictionary!$A:$I,6,FALSE),"")</x:f>
      </x:c>
      <x:c r="K270" s="6" t="str">
        <x:f>IFERROR(VLOOKUP(C270,Metric_Dictionary!$A:$I,7,FALSE),"")</x:f>
      </x:c>
    </x:row>
    <x:row r="271" ht="15.75" customHeight="1">
      <x:c r="A271" s="8" t="n">
        <x:f>Dashboard_Values!A272</x:f>
        <x:v>0</x:v>
      </x:c>
      <x:c r="B271" s="6" t="str">
        <x:f>IFERROR(VLOOKUP(C271,Metric_Dictionary!$A:$I,2,FALSE),"")</x:f>
      </x:c>
      <x:c r="C271" s="6" t="n">
        <x:f>Dashboard_Values!B272</x:f>
        <x:v>0</x:v>
      </x:c>
      <x:c r="D271" s="6" t="str">
        <x:f>IFERROR(VLOOKUP(C271,Metric_Dictionary!$A:$I,3,FALSE),"")</x:f>
      </x:c>
      <x:c r="E271" s="6" t="n">
        <x:f>Dashboard_Values!C272</x:f>
        <x:v>0</x:v>
      </x:c>
      <x:c r="F271" s="6" t="str">
        <x:f>IFERROR(VLOOKUP(C271,Metric_Dictionary!$A:$I,8,FALSE),"")</x:f>
      </x:c>
      <x:c r="G271" s="6" t="str">
        <x:f>IFERROR(VLOOKUP(C271,Metric_Dictionary!$A:$I,4,FALSE),"")</x:f>
      </x:c>
      <x:c r="H271" s="6" t="str">
        <x:f>IFERROR(VLOOKUP(C271,Metric_Dictionary!$A:$I,9,FALSE),"")</x:f>
      </x:c>
      <x:c r="I271" s="6" t="str">
        <x:f>IFERROR(VLOOKUP(C271,Metric_Dictionary!$A:$I,5,FALSE),"")</x:f>
      </x:c>
      <x:c r="J271" s="6" t="str">
        <x:f>IFERROR(VLOOKUP(C271,Metric_Dictionary!$A:$I,6,FALSE),"")</x:f>
      </x:c>
      <x:c r="K271" s="6" t="str">
        <x:f>IFERROR(VLOOKUP(C271,Metric_Dictionary!$A:$I,7,FALSE),"")</x:f>
      </x:c>
    </x:row>
    <x:row r="272" ht="15.75" customHeight="1">
      <x:c r="A272" s="8" t="n">
        <x:f>Dashboard_Values!A273</x:f>
        <x:v>0</x:v>
      </x:c>
      <x:c r="B272" s="6" t="str">
        <x:f>IFERROR(VLOOKUP(C272,Metric_Dictionary!$A:$I,2,FALSE),"")</x:f>
      </x:c>
      <x:c r="C272" s="6" t="n">
        <x:f>Dashboard_Values!B273</x:f>
        <x:v>0</x:v>
      </x:c>
      <x:c r="D272" s="6" t="str">
        <x:f>IFERROR(VLOOKUP(C272,Metric_Dictionary!$A:$I,3,FALSE),"")</x:f>
      </x:c>
      <x:c r="E272" s="6" t="n">
        <x:f>Dashboard_Values!C273</x:f>
        <x:v>0</x:v>
      </x:c>
      <x:c r="F272" s="6" t="str">
        <x:f>IFERROR(VLOOKUP(C272,Metric_Dictionary!$A:$I,8,FALSE),"")</x:f>
      </x:c>
      <x:c r="G272" s="6" t="str">
        <x:f>IFERROR(VLOOKUP(C272,Metric_Dictionary!$A:$I,4,FALSE),"")</x:f>
      </x:c>
      <x:c r="H272" s="6" t="str">
        <x:f>IFERROR(VLOOKUP(C272,Metric_Dictionary!$A:$I,9,FALSE),"")</x:f>
      </x:c>
      <x:c r="I272" s="6" t="str">
        <x:f>IFERROR(VLOOKUP(C272,Metric_Dictionary!$A:$I,5,FALSE),"")</x:f>
      </x:c>
      <x:c r="J272" s="6" t="str">
        <x:f>IFERROR(VLOOKUP(C272,Metric_Dictionary!$A:$I,6,FALSE),"")</x:f>
      </x:c>
      <x:c r="K272" s="6" t="str">
        <x:f>IFERROR(VLOOKUP(C272,Metric_Dictionary!$A:$I,7,FALSE),"")</x:f>
      </x:c>
    </x:row>
    <x:row r="273" ht="15.75" customHeight="1">
      <x:c r="A273" s="8" t="n">
        <x:f>Dashboard_Values!A274</x:f>
        <x:v>0</x:v>
      </x:c>
      <x:c r="B273" s="6" t="str">
        <x:f>IFERROR(VLOOKUP(C273,Metric_Dictionary!$A:$I,2,FALSE),"")</x:f>
      </x:c>
      <x:c r="C273" s="6" t="n">
        <x:f>Dashboard_Values!B274</x:f>
        <x:v>0</x:v>
      </x:c>
      <x:c r="D273" s="6" t="str">
        <x:f>IFERROR(VLOOKUP(C273,Metric_Dictionary!$A:$I,3,FALSE),"")</x:f>
      </x:c>
      <x:c r="E273" s="6" t="n">
        <x:f>Dashboard_Values!C274</x:f>
        <x:v>0</x:v>
      </x:c>
      <x:c r="F273" s="6" t="str">
        <x:f>IFERROR(VLOOKUP(C273,Metric_Dictionary!$A:$I,8,FALSE),"")</x:f>
      </x:c>
      <x:c r="G273" s="6" t="str">
        <x:f>IFERROR(VLOOKUP(C273,Metric_Dictionary!$A:$I,4,FALSE),"")</x:f>
      </x:c>
      <x:c r="H273" s="6" t="str">
        <x:f>IFERROR(VLOOKUP(C273,Metric_Dictionary!$A:$I,9,FALSE),"")</x:f>
      </x:c>
      <x:c r="I273" s="6" t="str">
        <x:f>IFERROR(VLOOKUP(C273,Metric_Dictionary!$A:$I,5,FALSE),"")</x:f>
      </x:c>
      <x:c r="J273" s="6" t="str">
        <x:f>IFERROR(VLOOKUP(C273,Metric_Dictionary!$A:$I,6,FALSE),"")</x:f>
      </x:c>
      <x:c r="K273" s="6" t="str">
        <x:f>IFERROR(VLOOKUP(C273,Metric_Dictionary!$A:$I,7,FALSE),"")</x:f>
      </x:c>
    </x:row>
    <x:row r="274" ht="15.75" customHeight="1">
      <x:c r="A274" s="8" t="n">
        <x:f>Dashboard_Values!A275</x:f>
        <x:v>0</x:v>
      </x:c>
      <x:c r="B274" s="6" t="str">
        <x:f>IFERROR(VLOOKUP(C274,Metric_Dictionary!$A:$I,2,FALSE),"")</x:f>
      </x:c>
      <x:c r="C274" s="6" t="n">
        <x:f>Dashboard_Values!B275</x:f>
        <x:v>0</x:v>
      </x:c>
      <x:c r="D274" s="6" t="str">
        <x:f>IFERROR(VLOOKUP(C274,Metric_Dictionary!$A:$I,3,FALSE),"")</x:f>
      </x:c>
      <x:c r="E274" s="6" t="n">
        <x:f>Dashboard_Values!C275</x:f>
        <x:v>0</x:v>
      </x:c>
      <x:c r="F274" s="6" t="str">
        <x:f>IFERROR(VLOOKUP(C274,Metric_Dictionary!$A:$I,8,FALSE),"")</x:f>
      </x:c>
      <x:c r="G274" s="6" t="str">
        <x:f>IFERROR(VLOOKUP(C274,Metric_Dictionary!$A:$I,4,FALSE),"")</x:f>
      </x:c>
      <x:c r="H274" s="6" t="str">
        <x:f>IFERROR(VLOOKUP(C274,Metric_Dictionary!$A:$I,9,FALSE),"")</x:f>
      </x:c>
      <x:c r="I274" s="6" t="str">
        <x:f>IFERROR(VLOOKUP(C274,Metric_Dictionary!$A:$I,5,FALSE),"")</x:f>
      </x:c>
      <x:c r="J274" s="6" t="str">
        <x:f>IFERROR(VLOOKUP(C274,Metric_Dictionary!$A:$I,6,FALSE),"")</x:f>
      </x:c>
      <x:c r="K274" s="6" t="str">
        <x:f>IFERROR(VLOOKUP(C274,Metric_Dictionary!$A:$I,7,FALSE),"")</x:f>
      </x:c>
    </x:row>
    <x:row r="275" ht="15.75" customHeight="1">
      <x:c r="A275" s="8" t="n">
        <x:f>Dashboard_Values!A276</x:f>
        <x:v>0</x:v>
      </x:c>
      <x:c r="B275" s="6" t="str">
        <x:f>IFERROR(VLOOKUP(C275,Metric_Dictionary!$A:$I,2,FALSE),"")</x:f>
      </x:c>
      <x:c r="C275" s="6" t="n">
        <x:f>Dashboard_Values!B276</x:f>
        <x:v>0</x:v>
      </x:c>
      <x:c r="D275" s="6" t="str">
        <x:f>IFERROR(VLOOKUP(C275,Metric_Dictionary!$A:$I,3,FALSE),"")</x:f>
      </x:c>
      <x:c r="E275" s="6" t="n">
        <x:f>Dashboard_Values!C276</x:f>
        <x:v>0</x:v>
      </x:c>
      <x:c r="F275" s="6" t="str">
        <x:f>IFERROR(VLOOKUP(C275,Metric_Dictionary!$A:$I,8,FALSE),"")</x:f>
      </x:c>
      <x:c r="G275" s="6" t="str">
        <x:f>IFERROR(VLOOKUP(C275,Metric_Dictionary!$A:$I,4,FALSE),"")</x:f>
      </x:c>
      <x:c r="H275" s="6" t="str">
        <x:f>IFERROR(VLOOKUP(C275,Metric_Dictionary!$A:$I,9,FALSE),"")</x:f>
      </x:c>
      <x:c r="I275" s="6" t="str">
        <x:f>IFERROR(VLOOKUP(C275,Metric_Dictionary!$A:$I,5,FALSE),"")</x:f>
      </x:c>
      <x:c r="J275" s="6" t="str">
        <x:f>IFERROR(VLOOKUP(C275,Metric_Dictionary!$A:$I,6,FALSE),"")</x:f>
      </x:c>
      <x:c r="K275" s="6" t="str">
        <x:f>IFERROR(VLOOKUP(C275,Metric_Dictionary!$A:$I,7,FALSE),"")</x:f>
      </x:c>
    </x:row>
    <x:row r="276" ht="15.75" customHeight="1">
      <x:c r="A276" s="8" t="n">
        <x:f>Dashboard_Values!A277</x:f>
        <x:v>0</x:v>
      </x:c>
      <x:c r="B276" s="6" t="str">
        <x:f>IFERROR(VLOOKUP(C276,Metric_Dictionary!$A:$I,2,FALSE),"")</x:f>
      </x:c>
      <x:c r="C276" s="6" t="n">
        <x:f>Dashboard_Values!B277</x:f>
        <x:v>0</x:v>
      </x:c>
      <x:c r="D276" s="6" t="str">
        <x:f>IFERROR(VLOOKUP(C276,Metric_Dictionary!$A:$I,3,FALSE),"")</x:f>
      </x:c>
      <x:c r="E276" s="6" t="n">
        <x:f>Dashboard_Values!C277</x:f>
        <x:v>0</x:v>
      </x:c>
      <x:c r="F276" s="6" t="str">
        <x:f>IFERROR(VLOOKUP(C276,Metric_Dictionary!$A:$I,8,FALSE),"")</x:f>
      </x:c>
      <x:c r="G276" s="6" t="str">
        <x:f>IFERROR(VLOOKUP(C276,Metric_Dictionary!$A:$I,4,FALSE),"")</x:f>
      </x:c>
      <x:c r="H276" s="6" t="str">
        <x:f>IFERROR(VLOOKUP(C276,Metric_Dictionary!$A:$I,9,FALSE),"")</x:f>
      </x:c>
      <x:c r="I276" s="6" t="str">
        <x:f>IFERROR(VLOOKUP(C276,Metric_Dictionary!$A:$I,5,FALSE),"")</x:f>
      </x:c>
      <x:c r="J276" s="6" t="str">
        <x:f>IFERROR(VLOOKUP(C276,Metric_Dictionary!$A:$I,6,FALSE),"")</x:f>
      </x:c>
      <x:c r="K276" s="6" t="str">
        <x:f>IFERROR(VLOOKUP(C276,Metric_Dictionary!$A:$I,7,FALSE),"")</x:f>
      </x:c>
    </x:row>
    <x:row r="277" ht="15.75" customHeight="1">
      <x:c r="A277" s="8" t="n">
        <x:f>Dashboard_Values!A278</x:f>
        <x:v>0</x:v>
      </x:c>
      <x:c r="B277" s="6" t="str">
        <x:f>IFERROR(VLOOKUP(C277,Metric_Dictionary!$A:$I,2,FALSE),"")</x:f>
      </x:c>
      <x:c r="C277" s="6" t="n">
        <x:f>Dashboard_Values!B278</x:f>
        <x:v>0</x:v>
      </x:c>
      <x:c r="D277" s="6" t="str">
        <x:f>IFERROR(VLOOKUP(C277,Metric_Dictionary!$A:$I,3,FALSE),"")</x:f>
      </x:c>
      <x:c r="E277" s="6" t="n">
        <x:f>Dashboard_Values!C278</x:f>
        <x:v>0</x:v>
      </x:c>
      <x:c r="F277" s="6" t="str">
        <x:f>IFERROR(VLOOKUP(C277,Metric_Dictionary!$A:$I,8,FALSE),"")</x:f>
      </x:c>
      <x:c r="G277" s="6" t="str">
        <x:f>IFERROR(VLOOKUP(C277,Metric_Dictionary!$A:$I,4,FALSE),"")</x:f>
      </x:c>
      <x:c r="H277" s="6" t="str">
        <x:f>IFERROR(VLOOKUP(C277,Metric_Dictionary!$A:$I,9,FALSE),"")</x:f>
      </x:c>
      <x:c r="I277" s="6" t="str">
        <x:f>IFERROR(VLOOKUP(C277,Metric_Dictionary!$A:$I,5,FALSE),"")</x:f>
      </x:c>
      <x:c r="J277" s="6" t="str">
        <x:f>IFERROR(VLOOKUP(C277,Metric_Dictionary!$A:$I,6,FALSE),"")</x:f>
      </x:c>
      <x:c r="K277" s="6" t="str">
        <x:f>IFERROR(VLOOKUP(C277,Metric_Dictionary!$A:$I,7,FALSE),"")</x:f>
      </x:c>
    </x:row>
    <x:row r="278" ht="15.75" customHeight="1">
      <x:c r="A278" s="8" t="n">
        <x:f>Dashboard_Values!A279</x:f>
        <x:v>0</x:v>
      </x:c>
      <x:c r="B278" s="6" t="str">
        <x:f>IFERROR(VLOOKUP(C278,Metric_Dictionary!$A:$I,2,FALSE),"")</x:f>
      </x:c>
      <x:c r="C278" s="6" t="n">
        <x:f>Dashboard_Values!B279</x:f>
        <x:v>0</x:v>
      </x:c>
      <x:c r="D278" s="6" t="str">
        <x:f>IFERROR(VLOOKUP(C278,Metric_Dictionary!$A:$I,3,FALSE),"")</x:f>
      </x:c>
      <x:c r="E278" s="6" t="n">
        <x:f>Dashboard_Values!C279</x:f>
        <x:v>0</x:v>
      </x:c>
      <x:c r="F278" s="6" t="str">
        <x:f>IFERROR(VLOOKUP(C278,Metric_Dictionary!$A:$I,8,FALSE),"")</x:f>
      </x:c>
      <x:c r="G278" s="6" t="str">
        <x:f>IFERROR(VLOOKUP(C278,Metric_Dictionary!$A:$I,4,FALSE),"")</x:f>
      </x:c>
      <x:c r="H278" s="6" t="str">
        <x:f>IFERROR(VLOOKUP(C278,Metric_Dictionary!$A:$I,9,FALSE),"")</x:f>
      </x:c>
      <x:c r="I278" s="6" t="str">
        <x:f>IFERROR(VLOOKUP(C278,Metric_Dictionary!$A:$I,5,FALSE),"")</x:f>
      </x:c>
      <x:c r="J278" s="6" t="str">
        <x:f>IFERROR(VLOOKUP(C278,Metric_Dictionary!$A:$I,6,FALSE),"")</x:f>
      </x:c>
      <x:c r="K278" s="6" t="str">
        <x:f>IFERROR(VLOOKUP(C278,Metric_Dictionary!$A:$I,7,FALSE),"")</x:f>
      </x:c>
    </x:row>
    <x:row r="279" ht="15.75" customHeight="1">
      <x:c r="A279" s="8" t="n">
        <x:f>Dashboard_Values!A280</x:f>
        <x:v>0</x:v>
      </x:c>
      <x:c r="B279" s="6" t="str">
        <x:f>IFERROR(VLOOKUP(C279,Metric_Dictionary!$A:$I,2,FALSE),"")</x:f>
      </x:c>
      <x:c r="C279" s="6" t="n">
        <x:f>Dashboard_Values!B280</x:f>
        <x:v>0</x:v>
      </x:c>
      <x:c r="D279" s="6" t="str">
        <x:f>IFERROR(VLOOKUP(C279,Metric_Dictionary!$A:$I,3,FALSE),"")</x:f>
      </x:c>
      <x:c r="E279" s="6" t="n">
        <x:f>Dashboard_Values!C280</x:f>
        <x:v>0</x:v>
      </x:c>
      <x:c r="F279" s="6" t="str">
        <x:f>IFERROR(VLOOKUP(C279,Metric_Dictionary!$A:$I,8,FALSE),"")</x:f>
      </x:c>
      <x:c r="G279" s="6" t="str">
        <x:f>IFERROR(VLOOKUP(C279,Metric_Dictionary!$A:$I,4,FALSE),"")</x:f>
      </x:c>
      <x:c r="H279" s="6" t="str">
        <x:f>IFERROR(VLOOKUP(C279,Metric_Dictionary!$A:$I,9,FALSE),"")</x:f>
      </x:c>
      <x:c r="I279" s="6" t="str">
        <x:f>IFERROR(VLOOKUP(C279,Metric_Dictionary!$A:$I,5,FALSE),"")</x:f>
      </x:c>
      <x:c r="J279" s="6" t="str">
        <x:f>IFERROR(VLOOKUP(C279,Metric_Dictionary!$A:$I,6,FALSE),"")</x:f>
      </x:c>
      <x:c r="K279" s="6" t="str">
        <x:f>IFERROR(VLOOKUP(C279,Metric_Dictionary!$A:$I,7,FALSE),"")</x:f>
      </x:c>
    </x:row>
    <x:row r="280" ht="15.75" customHeight="1">
      <x:c r="A280" s="8" t="n">
        <x:f>Dashboard_Values!A281</x:f>
        <x:v>0</x:v>
      </x:c>
      <x:c r="B280" s="6" t="str">
        <x:f>IFERROR(VLOOKUP(C280,Metric_Dictionary!$A:$I,2,FALSE),"")</x:f>
      </x:c>
      <x:c r="C280" s="6" t="n">
        <x:f>Dashboard_Values!B281</x:f>
        <x:v>0</x:v>
      </x:c>
      <x:c r="D280" s="6" t="str">
        <x:f>IFERROR(VLOOKUP(C280,Metric_Dictionary!$A:$I,3,FALSE),"")</x:f>
      </x:c>
      <x:c r="E280" s="6" t="n">
        <x:f>Dashboard_Values!C281</x:f>
        <x:v>0</x:v>
      </x:c>
      <x:c r="F280" s="6" t="str">
        <x:f>IFERROR(VLOOKUP(C280,Metric_Dictionary!$A:$I,8,FALSE),"")</x:f>
      </x:c>
      <x:c r="G280" s="6" t="str">
        <x:f>IFERROR(VLOOKUP(C280,Metric_Dictionary!$A:$I,4,FALSE),"")</x:f>
      </x:c>
      <x:c r="H280" s="6" t="str">
        <x:f>IFERROR(VLOOKUP(C280,Metric_Dictionary!$A:$I,9,FALSE),"")</x:f>
      </x:c>
      <x:c r="I280" s="6" t="str">
        <x:f>IFERROR(VLOOKUP(C280,Metric_Dictionary!$A:$I,5,FALSE),"")</x:f>
      </x:c>
      <x:c r="J280" s="6" t="str">
        <x:f>IFERROR(VLOOKUP(C280,Metric_Dictionary!$A:$I,6,FALSE),"")</x:f>
      </x:c>
      <x:c r="K280" s="6" t="str">
        <x:f>IFERROR(VLOOKUP(C280,Metric_Dictionary!$A:$I,7,FALSE),"")</x:f>
      </x:c>
    </x:row>
    <x:row r="281" ht="15.75" customHeight="1">
      <x:c r="A281" s="8" t="n">
        <x:f>Dashboard_Values!A282</x:f>
        <x:v>0</x:v>
      </x:c>
      <x:c r="B281" s="6" t="str">
        <x:f>IFERROR(VLOOKUP(C281,Metric_Dictionary!$A:$I,2,FALSE),"")</x:f>
      </x:c>
      <x:c r="C281" s="6" t="n">
        <x:f>Dashboard_Values!B282</x:f>
        <x:v>0</x:v>
      </x:c>
      <x:c r="D281" s="6" t="str">
        <x:f>IFERROR(VLOOKUP(C281,Metric_Dictionary!$A:$I,3,FALSE),"")</x:f>
      </x:c>
      <x:c r="E281" s="6" t="n">
        <x:f>Dashboard_Values!C282</x:f>
        <x:v>0</x:v>
      </x:c>
      <x:c r="F281" s="6" t="str">
        <x:f>IFERROR(VLOOKUP(C281,Metric_Dictionary!$A:$I,8,FALSE),"")</x:f>
      </x:c>
      <x:c r="G281" s="6" t="str">
        <x:f>IFERROR(VLOOKUP(C281,Metric_Dictionary!$A:$I,4,FALSE),"")</x:f>
      </x:c>
      <x:c r="H281" s="6" t="str">
        <x:f>IFERROR(VLOOKUP(C281,Metric_Dictionary!$A:$I,9,FALSE),"")</x:f>
      </x:c>
      <x:c r="I281" s="6" t="str">
        <x:f>IFERROR(VLOOKUP(C281,Metric_Dictionary!$A:$I,5,FALSE),"")</x:f>
      </x:c>
      <x:c r="J281" s="6" t="str">
        <x:f>IFERROR(VLOOKUP(C281,Metric_Dictionary!$A:$I,6,FALSE),"")</x:f>
      </x:c>
      <x:c r="K281" s="6" t="str">
        <x:f>IFERROR(VLOOKUP(C281,Metric_Dictionary!$A:$I,7,FALSE),"")</x:f>
      </x:c>
    </x:row>
    <x:row r="282" ht="15.75" customHeight="1">
      <x:c r="A282" s="8" t="n">
        <x:f>Dashboard_Values!A283</x:f>
        <x:v>0</x:v>
      </x:c>
      <x:c r="B282" s="6" t="str">
        <x:f>IFERROR(VLOOKUP(C282,Metric_Dictionary!$A:$I,2,FALSE),"")</x:f>
      </x:c>
      <x:c r="C282" s="6" t="n">
        <x:f>Dashboard_Values!B283</x:f>
        <x:v>0</x:v>
      </x:c>
      <x:c r="D282" s="6" t="str">
        <x:f>IFERROR(VLOOKUP(C282,Metric_Dictionary!$A:$I,3,FALSE),"")</x:f>
      </x:c>
      <x:c r="E282" s="6" t="n">
        <x:f>Dashboard_Values!C283</x:f>
        <x:v>0</x:v>
      </x:c>
      <x:c r="F282" s="6" t="str">
        <x:f>IFERROR(VLOOKUP(C282,Metric_Dictionary!$A:$I,8,FALSE),"")</x:f>
      </x:c>
      <x:c r="G282" s="6" t="str">
        <x:f>IFERROR(VLOOKUP(C282,Metric_Dictionary!$A:$I,4,FALSE),"")</x:f>
      </x:c>
      <x:c r="H282" s="6" t="str">
        <x:f>IFERROR(VLOOKUP(C282,Metric_Dictionary!$A:$I,9,FALSE),"")</x:f>
      </x:c>
      <x:c r="I282" s="6" t="str">
        <x:f>IFERROR(VLOOKUP(C282,Metric_Dictionary!$A:$I,5,FALSE),"")</x:f>
      </x:c>
      <x:c r="J282" s="6" t="str">
        <x:f>IFERROR(VLOOKUP(C282,Metric_Dictionary!$A:$I,6,FALSE),"")</x:f>
      </x:c>
      <x:c r="K282" s="6" t="str">
        <x:f>IFERROR(VLOOKUP(C282,Metric_Dictionary!$A:$I,7,FALSE),"")</x:f>
      </x:c>
    </x:row>
    <x:row r="283" ht="15.75" customHeight="1">
      <x:c r="A283" s="8" t="n">
        <x:f>Dashboard_Values!A284</x:f>
        <x:v>0</x:v>
      </x:c>
      <x:c r="B283" s="6" t="str">
        <x:f>IFERROR(VLOOKUP(C283,Metric_Dictionary!$A:$I,2,FALSE),"")</x:f>
      </x:c>
      <x:c r="C283" s="6" t="n">
        <x:f>Dashboard_Values!B284</x:f>
        <x:v>0</x:v>
      </x:c>
      <x:c r="D283" s="6" t="str">
        <x:f>IFERROR(VLOOKUP(C283,Metric_Dictionary!$A:$I,3,FALSE),"")</x:f>
      </x:c>
      <x:c r="E283" s="6" t="n">
        <x:f>Dashboard_Values!C284</x:f>
        <x:v>0</x:v>
      </x:c>
      <x:c r="F283" s="6" t="str">
        <x:f>IFERROR(VLOOKUP(C283,Metric_Dictionary!$A:$I,8,FALSE),"")</x:f>
      </x:c>
      <x:c r="G283" s="6" t="str">
        <x:f>IFERROR(VLOOKUP(C283,Metric_Dictionary!$A:$I,4,FALSE),"")</x:f>
      </x:c>
      <x:c r="H283" s="6" t="str">
        <x:f>IFERROR(VLOOKUP(C283,Metric_Dictionary!$A:$I,9,FALSE),"")</x:f>
      </x:c>
      <x:c r="I283" s="6" t="str">
        <x:f>IFERROR(VLOOKUP(C283,Metric_Dictionary!$A:$I,5,FALSE),"")</x:f>
      </x:c>
      <x:c r="J283" s="6" t="str">
        <x:f>IFERROR(VLOOKUP(C283,Metric_Dictionary!$A:$I,6,FALSE),"")</x:f>
      </x:c>
      <x:c r="K283" s="6" t="str">
        <x:f>IFERROR(VLOOKUP(C283,Metric_Dictionary!$A:$I,7,FALSE),"")</x:f>
      </x:c>
    </x:row>
    <x:row r="284" ht="15.75" customHeight="1">
      <x:c r="A284" s="8" t="n">
        <x:f>Dashboard_Values!A285</x:f>
        <x:v>0</x:v>
      </x:c>
      <x:c r="B284" s="6" t="str">
        <x:f>IFERROR(VLOOKUP(C284,Metric_Dictionary!$A:$I,2,FALSE),"")</x:f>
      </x:c>
      <x:c r="C284" s="6" t="n">
        <x:f>Dashboard_Values!B285</x:f>
        <x:v>0</x:v>
      </x:c>
      <x:c r="D284" s="6" t="str">
        <x:f>IFERROR(VLOOKUP(C284,Metric_Dictionary!$A:$I,3,FALSE),"")</x:f>
      </x:c>
      <x:c r="E284" s="6" t="n">
        <x:f>Dashboard_Values!C285</x:f>
        <x:v>0</x:v>
      </x:c>
      <x:c r="F284" s="6" t="str">
        <x:f>IFERROR(VLOOKUP(C284,Metric_Dictionary!$A:$I,8,FALSE),"")</x:f>
      </x:c>
      <x:c r="G284" s="6" t="str">
        <x:f>IFERROR(VLOOKUP(C284,Metric_Dictionary!$A:$I,4,FALSE),"")</x:f>
      </x:c>
      <x:c r="H284" s="6" t="str">
        <x:f>IFERROR(VLOOKUP(C284,Metric_Dictionary!$A:$I,9,FALSE),"")</x:f>
      </x:c>
      <x:c r="I284" s="6" t="str">
        <x:f>IFERROR(VLOOKUP(C284,Metric_Dictionary!$A:$I,5,FALSE),"")</x:f>
      </x:c>
      <x:c r="J284" s="6" t="str">
        <x:f>IFERROR(VLOOKUP(C284,Metric_Dictionary!$A:$I,6,FALSE),"")</x:f>
      </x:c>
      <x:c r="K284" s="6" t="str">
        <x:f>IFERROR(VLOOKUP(C284,Metric_Dictionary!$A:$I,7,FALSE),"")</x:f>
      </x:c>
    </x:row>
    <x:row r="285" ht="15.75" customHeight="1">
      <x:c r="A285" s="8" t="n">
        <x:f>Dashboard_Values!A286</x:f>
        <x:v>0</x:v>
      </x:c>
      <x:c r="B285" s="6" t="str">
        <x:f>IFERROR(VLOOKUP(C285,Metric_Dictionary!$A:$I,2,FALSE),"")</x:f>
      </x:c>
      <x:c r="C285" s="6" t="n">
        <x:f>Dashboard_Values!B286</x:f>
        <x:v>0</x:v>
      </x:c>
      <x:c r="D285" s="6" t="str">
        <x:f>IFERROR(VLOOKUP(C285,Metric_Dictionary!$A:$I,3,FALSE),"")</x:f>
      </x:c>
      <x:c r="E285" s="6" t="n">
        <x:f>Dashboard_Values!C286</x:f>
        <x:v>0</x:v>
      </x:c>
      <x:c r="F285" s="6" t="str">
        <x:f>IFERROR(VLOOKUP(C285,Metric_Dictionary!$A:$I,8,FALSE),"")</x:f>
      </x:c>
      <x:c r="G285" s="6" t="str">
        <x:f>IFERROR(VLOOKUP(C285,Metric_Dictionary!$A:$I,4,FALSE),"")</x:f>
      </x:c>
      <x:c r="H285" s="6" t="str">
        <x:f>IFERROR(VLOOKUP(C285,Metric_Dictionary!$A:$I,9,FALSE),"")</x:f>
      </x:c>
      <x:c r="I285" s="6" t="str">
        <x:f>IFERROR(VLOOKUP(C285,Metric_Dictionary!$A:$I,5,FALSE),"")</x:f>
      </x:c>
      <x:c r="J285" s="6" t="str">
        <x:f>IFERROR(VLOOKUP(C285,Metric_Dictionary!$A:$I,6,FALSE),"")</x:f>
      </x:c>
      <x:c r="K285" s="6" t="str">
        <x:f>IFERROR(VLOOKUP(C285,Metric_Dictionary!$A:$I,7,FALSE),"")</x:f>
      </x:c>
    </x:row>
    <x:row r="286" ht="15.75" customHeight="1">
      <x:c r="A286" s="8" t="n">
        <x:f>Dashboard_Values!A287</x:f>
        <x:v>0</x:v>
      </x:c>
      <x:c r="B286" s="6" t="str">
        <x:f>IFERROR(VLOOKUP(C286,Metric_Dictionary!$A:$I,2,FALSE),"")</x:f>
      </x:c>
      <x:c r="C286" s="6" t="n">
        <x:f>Dashboard_Values!B287</x:f>
        <x:v>0</x:v>
      </x:c>
      <x:c r="D286" s="6" t="str">
        <x:f>IFERROR(VLOOKUP(C286,Metric_Dictionary!$A:$I,3,FALSE),"")</x:f>
      </x:c>
      <x:c r="E286" s="6" t="n">
        <x:f>Dashboard_Values!C287</x:f>
        <x:v>0</x:v>
      </x:c>
      <x:c r="F286" s="6" t="str">
        <x:f>IFERROR(VLOOKUP(C286,Metric_Dictionary!$A:$I,8,FALSE),"")</x:f>
      </x:c>
      <x:c r="G286" s="6" t="str">
        <x:f>IFERROR(VLOOKUP(C286,Metric_Dictionary!$A:$I,4,FALSE),"")</x:f>
      </x:c>
      <x:c r="H286" s="6" t="str">
        <x:f>IFERROR(VLOOKUP(C286,Metric_Dictionary!$A:$I,9,FALSE),"")</x:f>
      </x:c>
      <x:c r="I286" s="6" t="str">
        <x:f>IFERROR(VLOOKUP(C286,Metric_Dictionary!$A:$I,5,FALSE),"")</x:f>
      </x:c>
      <x:c r="J286" s="6" t="str">
        <x:f>IFERROR(VLOOKUP(C286,Metric_Dictionary!$A:$I,6,FALSE),"")</x:f>
      </x:c>
      <x:c r="K286" s="6" t="str">
        <x:f>IFERROR(VLOOKUP(C286,Metric_Dictionary!$A:$I,7,FALSE),"")</x:f>
      </x:c>
    </x:row>
    <x:row r="287" ht="15.75" customHeight="1">
      <x:c r="A287" s="8" t="n">
        <x:f>Dashboard_Values!A288</x:f>
        <x:v>0</x:v>
      </x:c>
      <x:c r="B287" s="6" t="str">
        <x:f>IFERROR(VLOOKUP(C287,Metric_Dictionary!$A:$I,2,FALSE),"")</x:f>
      </x:c>
      <x:c r="C287" s="6" t="n">
        <x:f>Dashboard_Values!B288</x:f>
        <x:v>0</x:v>
      </x:c>
      <x:c r="D287" s="6" t="str">
        <x:f>IFERROR(VLOOKUP(C287,Metric_Dictionary!$A:$I,3,FALSE),"")</x:f>
      </x:c>
      <x:c r="E287" s="6" t="n">
        <x:f>Dashboard_Values!C288</x:f>
        <x:v>0</x:v>
      </x:c>
      <x:c r="F287" s="6" t="str">
        <x:f>IFERROR(VLOOKUP(C287,Metric_Dictionary!$A:$I,8,FALSE),"")</x:f>
      </x:c>
      <x:c r="G287" s="6" t="str">
        <x:f>IFERROR(VLOOKUP(C287,Metric_Dictionary!$A:$I,4,FALSE),"")</x:f>
      </x:c>
      <x:c r="H287" s="6" t="str">
        <x:f>IFERROR(VLOOKUP(C287,Metric_Dictionary!$A:$I,9,FALSE),"")</x:f>
      </x:c>
      <x:c r="I287" s="6" t="str">
        <x:f>IFERROR(VLOOKUP(C287,Metric_Dictionary!$A:$I,5,FALSE),"")</x:f>
      </x:c>
      <x:c r="J287" s="6" t="str">
        <x:f>IFERROR(VLOOKUP(C287,Metric_Dictionary!$A:$I,6,FALSE),"")</x:f>
      </x:c>
      <x:c r="K287" s="6" t="str">
        <x:f>IFERROR(VLOOKUP(C287,Metric_Dictionary!$A:$I,7,FALSE),"")</x:f>
      </x:c>
    </x:row>
    <x:row r="288" ht="15.75" customHeight="1">
      <x:c r="A288" s="8" t="n">
        <x:f>Dashboard_Values!A289</x:f>
        <x:v>0</x:v>
      </x:c>
      <x:c r="B288" s="6" t="str">
        <x:f>IFERROR(VLOOKUP(C288,Metric_Dictionary!$A:$I,2,FALSE),"")</x:f>
      </x:c>
      <x:c r="C288" s="6" t="n">
        <x:f>Dashboard_Values!B289</x:f>
        <x:v>0</x:v>
      </x:c>
      <x:c r="D288" s="6" t="str">
        <x:f>IFERROR(VLOOKUP(C288,Metric_Dictionary!$A:$I,3,FALSE),"")</x:f>
      </x:c>
      <x:c r="E288" s="6" t="n">
        <x:f>Dashboard_Values!C289</x:f>
        <x:v>0</x:v>
      </x:c>
      <x:c r="F288" s="6" t="str">
        <x:f>IFERROR(VLOOKUP(C288,Metric_Dictionary!$A:$I,8,FALSE),"")</x:f>
      </x:c>
      <x:c r="G288" s="6" t="str">
        <x:f>IFERROR(VLOOKUP(C288,Metric_Dictionary!$A:$I,4,FALSE),"")</x:f>
      </x:c>
      <x:c r="H288" s="6" t="str">
        <x:f>IFERROR(VLOOKUP(C288,Metric_Dictionary!$A:$I,9,FALSE),"")</x:f>
      </x:c>
      <x:c r="I288" s="6" t="str">
        <x:f>IFERROR(VLOOKUP(C288,Metric_Dictionary!$A:$I,5,FALSE),"")</x:f>
      </x:c>
      <x:c r="J288" s="6" t="str">
        <x:f>IFERROR(VLOOKUP(C288,Metric_Dictionary!$A:$I,6,FALSE),"")</x:f>
      </x:c>
      <x:c r="K288" s="6" t="str">
        <x:f>IFERROR(VLOOKUP(C288,Metric_Dictionary!$A:$I,7,FALSE),"")</x:f>
      </x:c>
    </x:row>
    <x:row r="289" ht="15.75" customHeight="1">
      <x:c r="A289" s="8" t="n">
        <x:f>Dashboard_Values!A290</x:f>
        <x:v>0</x:v>
      </x:c>
      <x:c r="B289" s="6" t="str">
        <x:f>IFERROR(VLOOKUP(C289,Metric_Dictionary!$A:$I,2,FALSE),"")</x:f>
      </x:c>
      <x:c r="C289" s="6" t="n">
        <x:f>Dashboard_Values!B290</x:f>
        <x:v>0</x:v>
      </x:c>
      <x:c r="D289" s="6" t="str">
        <x:f>IFERROR(VLOOKUP(C289,Metric_Dictionary!$A:$I,3,FALSE),"")</x:f>
      </x:c>
      <x:c r="E289" s="6" t="n">
        <x:f>Dashboard_Values!C290</x:f>
        <x:v>0</x:v>
      </x:c>
      <x:c r="F289" s="6" t="str">
        <x:f>IFERROR(VLOOKUP(C289,Metric_Dictionary!$A:$I,8,FALSE),"")</x:f>
      </x:c>
      <x:c r="G289" s="6" t="str">
        <x:f>IFERROR(VLOOKUP(C289,Metric_Dictionary!$A:$I,4,FALSE),"")</x:f>
      </x:c>
      <x:c r="H289" s="6" t="str">
        <x:f>IFERROR(VLOOKUP(C289,Metric_Dictionary!$A:$I,9,FALSE),"")</x:f>
      </x:c>
      <x:c r="I289" s="6" t="str">
        <x:f>IFERROR(VLOOKUP(C289,Metric_Dictionary!$A:$I,5,FALSE),"")</x:f>
      </x:c>
      <x:c r="J289" s="6" t="str">
        <x:f>IFERROR(VLOOKUP(C289,Metric_Dictionary!$A:$I,6,FALSE),"")</x:f>
      </x:c>
      <x:c r="K289" s="6" t="str">
        <x:f>IFERROR(VLOOKUP(C289,Metric_Dictionary!$A:$I,7,FALSE),"")</x:f>
      </x:c>
    </x:row>
    <x:row r="290" ht="15.75" customHeight="1">
      <x:c r="A290" s="8" t="n">
        <x:f>Dashboard_Values!A291</x:f>
        <x:v>0</x:v>
      </x:c>
      <x:c r="B290" s="6" t="str">
        <x:f>IFERROR(VLOOKUP(C290,Metric_Dictionary!$A:$I,2,FALSE),"")</x:f>
      </x:c>
      <x:c r="C290" s="6" t="n">
        <x:f>Dashboard_Values!B291</x:f>
        <x:v>0</x:v>
      </x:c>
      <x:c r="D290" s="6" t="str">
        <x:f>IFERROR(VLOOKUP(C290,Metric_Dictionary!$A:$I,3,FALSE),"")</x:f>
      </x:c>
      <x:c r="E290" s="6" t="n">
        <x:f>Dashboard_Values!C291</x:f>
        <x:v>0</x:v>
      </x:c>
      <x:c r="F290" s="6" t="str">
        <x:f>IFERROR(VLOOKUP(C290,Metric_Dictionary!$A:$I,8,FALSE),"")</x:f>
      </x:c>
      <x:c r="G290" s="6" t="str">
        <x:f>IFERROR(VLOOKUP(C290,Metric_Dictionary!$A:$I,4,FALSE),"")</x:f>
      </x:c>
      <x:c r="H290" s="6" t="str">
        <x:f>IFERROR(VLOOKUP(C290,Metric_Dictionary!$A:$I,9,FALSE),"")</x:f>
      </x:c>
      <x:c r="I290" s="6" t="str">
        <x:f>IFERROR(VLOOKUP(C290,Metric_Dictionary!$A:$I,5,FALSE),"")</x:f>
      </x:c>
      <x:c r="J290" s="6" t="str">
        <x:f>IFERROR(VLOOKUP(C290,Metric_Dictionary!$A:$I,6,FALSE),"")</x:f>
      </x:c>
      <x:c r="K290" s="6" t="str">
        <x:f>IFERROR(VLOOKUP(C290,Metric_Dictionary!$A:$I,7,FALSE),"")</x:f>
      </x:c>
    </x:row>
    <x:row r="291" ht="15.75" customHeight="1">
      <x:c r="A291" s="8" t="n">
        <x:f>Dashboard_Values!A292</x:f>
        <x:v>0</x:v>
      </x:c>
      <x:c r="B291" s="6" t="str">
        <x:f>IFERROR(VLOOKUP(C291,Metric_Dictionary!$A:$I,2,FALSE),"")</x:f>
      </x:c>
      <x:c r="C291" s="6" t="n">
        <x:f>Dashboard_Values!B292</x:f>
        <x:v>0</x:v>
      </x:c>
      <x:c r="D291" s="6" t="str">
        <x:f>IFERROR(VLOOKUP(C291,Metric_Dictionary!$A:$I,3,FALSE),"")</x:f>
      </x:c>
      <x:c r="E291" s="6" t="n">
        <x:f>Dashboard_Values!C292</x:f>
        <x:v>0</x:v>
      </x:c>
      <x:c r="F291" s="6" t="str">
        <x:f>IFERROR(VLOOKUP(C291,Metric_Dictionary!$A:$I,8,FALSE),"")</x:f>
      </x:c>
      <x:c r="G291" s="6" t="str">
        <x:f>IFERROR(VLOOKUP(C291,Metric_Dictionary!$A:$I,4,FALSE),"")</x:f>
      </x:c>
      <x:c r="H291" s="6" t="str">
        <x:f>IFERROR(VLOOKUP(C291,Metric_Dictionary!$A:$I,9,FALSE),"")</x:f>
      </x:c>
      <x:c r="I291" s="6" t="str">
        <x:f>IFERROR(VLOOKUP(C291,Metric_Dictionary!$A:$I,5,FALSE),"")</x:f>
      </x:c>
      <x:c r="J291" s="6" t="str">
        <x:f>IFERROR(VLOOKUP(C291,Metric_Dictionary!$A:$I,6,FALSE),"")</x:f>
      </x:c>
      <x:c r="K291" s="6" t="str">
        <x:f>IFERROR(VLOOKUP(C291,Metric_Dictionary!$A:$I,7,FALSE),"")</x:f>
      </x:c>
    </x:row>
    <x:row r="292" ht="15.75" customHeight="1">
      <x:c r="A292" s="8" t="n">
        <x:f>Dashboard_Values!A293</x:f>
        <x:v>0</x:v>
      </x:c>
      <x:c r="B292" s="6" t="str">
        <x:f>IFERROR(VLOOKUP(C292,Metric_Dictionary!$A:$I,2,FALSE),"")</x:f>
      </x:c>
      <x:c r="C292" s="6" t="n">
        <x:f>Dashboard_Values!B293</x:f>
        <x:v>0</x:v>
      </x:c>
      <x:c r="D292" s="6" t="str">
        <x:f>IFERROR(VLOOKUP(C292,Metric_Dictionary!$A:$I,3,FALSE),"")</x:f>
      </x:c>
      <x:c r="E292" s="6" t="n">
        <x:f>Dashboard_Values!C293</x:f>
        <x:v>0</x:v>
      </x:c>
      <x:c r="F292" s="6" t="str">
        <x:f>IFERROR(VLOOKUP(C292,Metric_Dictionary!$A:$I,8,FALSE),"")</x:f>
      </x:c>
      <x:c r="G292" s="6" t="str">
        <x:f>IFERROR(VLOOKUP(C292,Metric_Dictionary!$A:$I,4,FALSE),"")</x:f>
      </x:c>
      <x:c r="H292" s="6" t="str">
        <x:f>IFERROR(VLOOKUP(C292,Metric_Dictionary!$A:$I,9,FALSE),"")</x:f>
      </x:c>
      <x:c r="I292" s="6" t="str">
        <x:f>IFERROR(VLOOKUP(C292,Metric_Dictionary!$A:$I,5,FALSE),"")</x:f>
      </x:c>
      <x:c r="J292" s="6" t="str">
        <x:f>IFERROR(VLOOKUP(C292,Metric_Dictionary!$A:$I,6,FALSE),"")</x:f>
      </x:c>
      <x:c r="K292" s="6" t="str">
        <x:f>IFERROR(VLOOKUP(C292,Metric_Dictionary!$A:$I,7,FALSE),"")</x:f>
      </x:c>
    </x:row>
    <x:row r="293" ht="15.75" customHeight="1">
      <x:c r="A293" s="8" t="n">
        <x:f>Dashboard_Values!A294</x:f>
        <x:v>0</x:v>
      </x:c>
      <x:c r="B293" s="6" t="str">
        <x:f>IFERROR(VLOOKUP(C293,Metric_Dictionary!$A:$I,2,FALSE),"")</x:f>
      </x:c>
      <x:c r="C293" s="6" t="n">
        <x:f>Dashboard_Values!B294</x:f>
        <x:v>0</x:v>
      </x:c>
      <x:c r="D293" s="6" t="str">
        <x:f>IFERROR(VLOOKUP(C293,Metric_Dictionary!$A:$I,3,FALSE),"")</x:f>
      </x:c>
      <x:c r="E293" s="6" t="n">
        <x:f>Dashboard_Values!C294</x:f>
        <x:v>0</x:v>
      </x:c>
      <x:c r="F293" s="6" t="str">
        <x:f>IFERROR(VLOOKUP(C293,Metric_Dictionary!$A:$I,8,FALSE),"")</x:f>
      </x:c>
      <x:c r="G293" s="6" t="str">
        <x:f>IFERROR(VLOOKUP(C293,Metric_Dictionary!$A:$I,4,FALSE),"")</x:f>
      </x:c>
      <x:c r="H293" s="6" t="str">
        <x:f>IFERROR(VLOOKUP(C293,Metric_Dictionary!$A:$I,9,FALSE),"")</x:f>
      </x:c>
      <x:c r="I293" s="6" t="str">
        <x:f>IFERROR(VLOOKUP(C293,Metric_Dictionary!$A:$I,5,FALSE),"")</x:f>
      </x:c>
      <x:c r="J293" s="6" t="str">
        <x:f>IFERROR(VLOOKUP(C293,Metric_Dictionary!$A:$I,6,FALSE),"")</x:f>
      </x:c>
      <x:c r="K293" s="6" t="str">
        <x:f>IFERROR(VLOOKUP(C293,Metric_Dictionary!$A:$I,7,FALSE),"")</x:f>
      </x:c>
    </x:row>
    <x:row r="294" ht="15.75" customHeight="1">
      <x:c r="A294" s="8" t="n">
        <x:f>Dashboard_Values!A295</x:f>
        <x:v>0</x:v>
      </x:c>
      <x:c r="B294" s="6" t="str">
        <x:f>IFERROR(VLOOKUP(C294,Metric_Dictionary!$A:$I,2,FALSE),"")</x:f>
      </x:c>
      <x:c r="C294" s="6" t="n">
        <x:f>Dashboard_Values!B295</x:f>
        <x:v>0</x:v>
      </x:c>
      <x:c r="D294" s="6" t="str">
        <x:f>IFERROR(VLOOKUP(C294,Metric_Dictionary!$A:$I,3,FALSE),"")</x:f>
      </x:c>
      <x:c r="E294" s="6" t="n">
        <x:f>Dashboard_Values!C295</x:f>
        <x:v>0</x:v>
      </x:c>
      <x:c r="F294" s="6" t="str">
        <x:f>IFERROR(VLOOKUP(C294,Metric_Dictionary!$A:$I,8,FALSE),"")</x:f>
      </x:c>
      <x:c r="G294" s="6" t="str">
        <x:f>IFERROR(VLOOKUP(C294,Metric_Dictionary!$A:$I,4,FALSE),"")</x:f>
      </x:c>
      <x:c r="H294" s="6" t="str">
        <x:f>IFERROR(VLOOKUP(C294,Metric_Dictionary!$A:$I,9,FALSE),"")</x:f>
      </x:c>
      <x:c r="I294" s="6" t="str">
        <x:f>IFERROR(VLOOKUP(C294,Metric_Dictionary!$A:$I,5,FALSE),"")</x:f>
      </x:c>
      <x:c r="J294" s="6" t="str">
        <x:f>IFERROR(VLOOKUP(C294,Metric_Dictionary!$A:$I,6,FALSE),"")</x:f>
      </x:c>
      <x:c r="K294" s="6" t="str">
        <x:f>IFERROR(VLOOKUP(C294,Metric_Dictionary!$A:$I,7,FALSE),"")</x:f>
      </x:c>
    </x:row>
    <x:row r="295" ht="15.75" customHeight="1">
      <x:c r="A295" s="8" t="n">
        <x:f>Dashboard_Values!A296</x:f>
        <x:v>0</x:v>
      </x:c>
      <x:c r="B295" s="6" t="str">
        <x:f>IFERROR(VLOOKUP(C295,Metric_Dictionary!$A:$I,2,FALSE),"")</x:f>
      </x:c>
      <x:c r="C295" s="6" t="n">
        <x:f>Dashboard_Values!B296</x:f>
        <x:v>0</x:v>
      </x:c>
      <x:c r="D295" s="6" t="str">
        <x:f>IFERROR(VLOOKUP(C295,Metric_Dictionary!$A:$I,3,FALSE),"")</x:f>
      </x:c>
      <x:c r="E295" s="6" t="n">
        <x:f>Dashboard_Values!C296</x:f>
        <x:v>0</x:v>
      </x:c>
      <x:c r="F295" s="6" t="str">
        <x:f>IFERROR(VLOOKUP(C295,Metric_Dictionary!$A:$I,8,FALSE),"")</x:f>
      </x:c>
      <x:c r="G295" s="6" t="str">
        <x:f>IFERROR(VLOOKUP(C295,Metric_Dictionary!$A:$I,4,FALSE),"")</x:f>
      </x:c>
      <x:c r="H295" s="6" t="str">
        <x:f>IFERROR(VLOOKUP(C295,Metric_Dictionary!$A:$I,9,FALSE),"")</x:f>
      </x:c>
      <x:c r="I295" s="6" t="str">
        <x:f>IFERROR(VLOOKUP(C295,Metric_Dictionary!$A:$I,5,FALSE),"")</x:f>
      </x:c>
      <x:c r="J295" s="6" t="str">
        <x:f>IFERROR(VLOOKUP(C295,Metric_Dictionary!$A:$I,6,FALSE),"")</x:f>
      </x:c>
      <x:c r="K295" s="6" t="str">
        <x:f>IFERROR(VLOOKUP(C295,Metric_Dictionary!$A:$I,7,FALSE),"")</x:f>
      </x:c>
    </x:row>
    <x:row r="296" ht="15.75" customHeight="1">
      <x:c r="A296" s="8" t="n">
        <x:f>Dashboard_Values!A297</x:f>
        <x:v>0</x:v>
      </x:c>
      <x:c r="B296" s="6" t="str">
        <x:f>IFERROR(VLOOKUP(C296,Metric_Dictionary!$A:$I,2,FALSE),"")</x:f>
      </x:c>
      <x:c r="C296" s="6" t="n">
        <x:f>Dashboard_Values!B297</x:f>
        <x:v>0</x:v>
      </x:c>
      <x:c r="D296" s="6" t="str">
        <x:f>IFERROR(VLOOKUP(C296,Metric_Dictionary!$A:$I,3,FALSE),"")</x:f>
      </x:c>
      <x:c r="E296" s="6" t="n">
        <x:f>Dashboard_Values!C297</x:f>
        <x:v>0</x:v>
      </x:c>
      <x:c r="F296" s="6" t="str">
        <x:f>IFERROR(VLOOKUP(C296,Metric_Dictionary!$A:$I,8,FALSE),"")</x:f>
      </x:c>
      <x:c r="G296" s="6" t="str">
        <x:f>IFERROR(VLOOKUP(C296,Metric_Dictionary!$A:$I,4,FALSE),"")</x:f>
      </x:c>
      <x:c r="H296" s="6" t="str">
        <x:f>IFERROR(VLOOKUP(C296,Metric_Dictionary!$A:$I,9,FALSE),"")</x:f>
      </x:c>
      <x:c r="I296" s="6" t="str">
        <x:f>IFERROR(VLOOKUP(C296,Metric_Dictionary!$A:$I,5,FALSE),"")</x:f>
      </x:c>
      <x:c r="J296" s="6" t="str">
        <x:f>IFERROR(VLOOKUP(C296,Metric_Dictionary!$A:$I,6,FALSE),"")</x:f>
      </x:c>
      <x:c r="K296" s="6" t="str">
        <x:f>IFERROR(VLOOKUP(C296,Metric_Dictionary!$A:$I,7,FALSE),"")</x:f>
      </x:c>
    </x:row>
    <x:row r="297" ht="15.75" customHeight="1">
      <x:c r="A297" s="8" t="n">
        <x:f>Dashboard_Values!A298</x:f>
        <x:v>0</x:v>
      </x:c>
      <x:c r="B297" s="6" t="str">
        <x:f>IFERROR(VLOOKUP(C297,Metric_Dictionary!$A:$I,2,FALSE),"")</x:f>
      </x:c>
      <x:c r="C297" s="6" t="n">
        <x:f>Dashboard_Values!B298</x:f>
        <x:v>0</x:v>
      </x:c>
      <x:c r="D297" s="6" t="str">
        <x:f>IFERROR(VLOOKUP(C297,Metric_Dictionary!$A:$I,3,FALSE),"")</x:f>
      </x:c>
      <x:c r="E297" s="6" t="n">
        <x:f>Dashboard_Values!C298</x:f>
        <x:v>0</x:v>
      </x:c>
      <x:c r="F297" s="6" t="str">
        <x:f>IFERROR(VLOOKUP(C297,Metric_Dictionary!$A:$I,8,FALSE),"")</x:f>
      </x:c>
      <x:c r="G297" s="6" t="str">
        <x:f>IFERROR(VLOOKUP(C297,Metric_Dictionary!$A:$I,4,FALSE),"")</x:f>
      </x:c>
      <x:c r="H297" s="6" t="str">
        <x:f>IFERROR(VLOOKUP(C297,Metric_Dictionary!$A:$I,9,FALSE),"")</x:f>
      </x:c>
      <x:c r="I297" s="6" t="str">
        <x:f>IFERROR(VLOOKUP(C297,Metric_Dictionary!$A:$I,5,FALSE),"")</x:f>
      </x:c>
      <x:c r="J297" s="6" t="str">
        <x:f>IFERROR(VLOOKUP(C297,Metric_Dictionary!$A:$I,6,FALSE),"")</x:f>
      </x:c>
      <x:c r="K297" s="6" t="str">
        <x:f>IFERROR(VLOOKUP(C297,Metric_Dictionary!$A:$I,7,FALSE),"")</x:f>
      </x:c>
    </x:row>
    <x:row r="298" ht="15.75" customHeight="1">
      <x:c r="A298" s="8" t="n">
        <x:f>Dashboard_Values!A299</x:f>
        <x:v>0</x:v>
      </x:c>
      <x:c r="B298" s="6" t="str">
        <x:f>IFERROR(VLOOKUP(C298,Metric_Dictionary!$A:$I,2,FALSE),"")</x:f>
      </x:c>
      <x:c r="C298" s="6" t="n">
        <x:f>Dashboard_Values!B299</x:f>
        <x:v>0</x:v>
      </x:c>
      <x:c r="D298" s="6" t="str">
        <x:f>IFERROR(VLOOKUP(C298,Metric_Dictionary!$A:$I,3,FALSE),"")</x:f>
      </x:c>
      <x:c r="E298" s="6" t="n">
        <x:f>Dashboard_Values!C299</x:f>
        <x:v>0</x:v>
      </x:c>
      <x:c r="F298" s="6" t="str">
        <x:f>IFERROR(VLOOKUP(C298,Metric_Dictionary!$A:$I,8,FALSE),"")</x:f>
      </x:c>
      <x:c r="G298" s="6" t="str">
        <x:f>IFERROR(VLOOKUP(C298,Metric_Dictionary!$A:$I,4,FALSE),"")</x:f>
      </x:c>
      <x:c r="H298" s="6" t="str">
        <x:f>IFERROR(VLOOKUP(C298,Metric_Dictionary!$A:$I,9,FALSE),"")</x:f>
      </x:c>
      <x:c r="I298" s="6" t="str">
        <x:f>IFERROR(VLOOKUP(C298,Metric_Dictionary!$A:$I,5,FALSE),"")</x:f>
      </x:c>
      <x:c r="J298" s="6" t="str">
        <x:f>IFERROR(VLOOKUP(C298,Metric_Dictionary!$A:$I,6,FALSE),"")</x:f>
      </x:c>
      <x:c r="K298" s="6" t="str">
        <x:f>IFERROR(VLOOKUP(C298,Metric_Dictionary!$A:$I,7,FALSE),"")</x:f>
      </x:c>
    </x:row>
    <x:row r="299" ht="15.75" customHeight="1">
      <x:c r="A299" s="8" t="n">
        <x:f>Dashboard_Values!A300</x:f>
        <x:v>0</x:v>
      </x:c>
      <x:c r="B299" s="6" t="str">
        <x:f>IFERROR(VLOOKUP(C299,Metric_Dictionary!$A:$I,2,FALSE),"")</x:f>
      </x:c>
      <x:c r="C299" s="6" t="n">
        <x:f>Dashboard_Values!B300</x:f>
        <x:v>0</x:v>
      </x:c>
      <x:c r="D299" s="6" t="str">
        <x:f>IFERROR(VLOOKUP(C299,Metric_Dictionary!$A:$I,3,FALSE),"")</x:f>
      </x:c>
      <x:c r="E299" s="6" t="n">
        <x:f>Dashboard_Values!C300</x:f>
        <x:v>0</x:v>
      </x:c>
      <x:c r="F299" s="6" t="str">
        <x:f>IFERROR(VLOOKUP(C299,Metric_Dictionary!$A:$I,8,FALSE),"")</x:f>
      </x:c>
      <x:c r="G299" s="6" t="str">
        <x:f>IFERROR(VLOOKUP(C299,Metric_Dictionary!$A:$I,4,FALSE),"")</x:f>
      </x:c>
      <x:c r="H299" s="6" t="str">
        <x:f>IFERROR(VLOOKUP(C299,Metric_Dictionary!$A:$I,9,FALSE),"")</x:f>
      </x:c>
      <x:c r="I299" s="6" t="str">
        <x:f>IFERROR(VLOOKUP(C299,Metric_Dictionary!$A:$I,5,FALSE),"")</x:f>
      </x:c>
      <x:c r="J299" s="6" t="str">
        <x:f>IFERROR(VLOOKUP(C299,Metric_Dictionary!$A:$I,6,FALSE),"")</x:f>
      </x:c>
      <x:c r="K299" s="6" t="str">
        <x:f>IFERROR(VLOOKUP(C299,Metric_Dictionary!$A:$I,7,FALSE),"")</x:f>
      </x:c>
    </x:row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28" customWidth="1"/>
    <x:col min="2" max="2" width="80" customWidth="1"/>
    <x:col min="3" max="6" width="8.630000114440918" customWidth="1"/>
  </x:cols>
  <x:sheetData>
    <x:row r="1">
      <x:c r="A1" s="38" t="s">
        <x:v>110</x:v>
      </x:c>
      <x:c r="B1" s="1" t="s">
        <x:v>69</x:v>
      </x:c>
    </x:row>
    <x:row r="2">
      <x:c r="A2" s="6" t="s">
        <x:v>111</x:v>
      </x:c>
      <x:c r="B2" s="6" t="s">
        <x:v>112</x:v>
      </x:c>
    </x:row>
    <x:row r="3">
      <x:c r="A3" s="6" t="s">
        <x:v>113</x:v>
      </x:c>
      <x:c r="B3" s="6" t="s">
        <x:v>114</x:v>
      </x:c>
    </x:row>
    <x:row r="4">
      <x:c r="A4" s="6" t="s">
        <x:v>115</x:v>
      </x:c>
      <x:c r="B4" s="6" t="s">
        <x:v>116</x:v>
      </x:c>
    </x:row>
    <x:row r="5">
      <x:c r="A5" s="6" t="s">
        <x:v>117</x:v>
      </x:c>
      <x:c r="B5" s="6" t="s">
        <x:v>118</x:v>
      </x:c>
    </x:row>
    <x:row r="10">
      <x:c r="A10" s="6" t="s">
        <x:v>119</x:v>
      </x:c>
      <x:c r="B10" s="6" t="s">
        <x:v>120</x:v>
      </x:c>
    </x:row>
    <x:row r="12">
      <x:c r="A12" s="6" t="s">
        <x:v>65</x:v>
      </x:c>
      <x:c r="B12" s="6" t="s">
        <x:v>121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6" customWidth="1"/>
    <x:col min="2" max="2" width="18" customWidth="1"/>
    <x:col min="3" max="3" width="30" customWidth="1"/>
    <x:col min="4" max="4" width="70" customWidth="1"/>
    <x:col min="5" max="5" width="14" customWidth="1"/>
    <x:col min="6" max="6" width="18" customWidth="1"/>
  </x:cols>
  <x:sheetData>
    <x:row r="1">
      <x:c r="A1" s="38" t="s">
        <x:v>122</x:v>
      </x:c>
      <x:c r="B1" s="38" t="s">
        <x:v>123</x:v>
      </x:c>
      <x:c r="C1" s="38" t="s">
        <x:v>124</x:v>
      </x:c>
      <x:c r="D1" s="1" t="s">
        <x:v>125</x:v>
      </x:c>
      <x:c r="E1" s="38" t="s">
        <x:v>126</x:v>
      </x:c>
      <x:c r="F1" s="38" t="s">
        <x:v>6</x:v>
      </x:c>
    </x:row>
    <x:row r="2">
      <x:c r="A2" s="39">
        <x:v>46192.0</x:v>
      </x:c>
      <x:c r="B2" s="6" t="s">
        <x:v>127</x:v>
      </x:c>
      <x:c r="C2" s="6" t="s">
        <x:v>128</x:v>
      </x:c>
      <x:c r="D2" s="6" t="s">
        <x:v>129</x:v>
      </x:c>
      <x:c r="E2" s="6" t="s">
        <x:v>130</x:v>
      </x:c>
      <x:c r="F2" s="6" t="s">
        <x:v>14</x:v>
      </x:c>
    </x:row>
    <x:row r="3">
      <x:c r="A3" s="6" t="s">
        <x:v>131</x:v>
      </x:c>
      <x:c r="B3" s="6" t="s">
        <x:v>132</x:v>
      </x:c>
      <x:c r="C3" s="6" t="s">
        <x:v>133</x:v>
      </x:c>
      <x:c r="D3" s="6" t="s">
        <x:v>134</x:v>
      </x:c>
      <x:c r="E3" s="6" t="s">
        <x:v>135</x:v>
      </x:c>
      <x:c r="F3" s="6" t="s">
        <x:v>14</x:v>
      </x:c>
    </x:row>
    <x:row r="4">
      <x:c r="A4" s="6" t="s">
        <x:v>136</x:v>
      </x:c>
      <x:c r="B4" s="6" t="s">
        <x:v>137</x:v>
      </x:c>
      <x:c r="C4" s="6" t="s">
        <x:v>138</x:v>
      </x:c>
      <x:c r="D4" s="6" t="s">
        <x:v>139</x:v>
      </x:c>
      <x:c r="E4" s="6" t="s">
        <x:v>130</x:v>
      </x:c>
      <x:c r="F4" s="6" t="s">
        <x:v>14</x:v>
      </x:c>
    </x:row>
    <x:row r="5">
      <x:c r="A5" s="6" t="s">
        <x:v>140</x:v>
      </x:c>
      <x:c r="B5" s="6" t="s">
        <x:v>141</x:v>
      </x:c>
      <x:c r="C5" s="6" t="s">
        <x:v>142</x:v>
      </x:c>
      <x:c r="D5" s="6" t="s">
        <x:v>143</x:v>
      </x:c>
      <x:c r="E5" s="6" t="s">
        <x:v>130</x:v>
      </x:c>
      <x:c r="F5" s="6" t="s">
        <x:v>144</x:v>
      </x:c>
    </x:row>
    <x:row r="6">
      <x:c r="A6" s="39">
        <x:v>46166.0</x:v>
      </x:c>
      <x:c r="B6" s="6" t="s">
        <x:v>137</x:v>
      </x:c>
      <x:c r="C6" s="6" t="s">
        <x:v>145</x:v>
      </x:c>
      <x:c r="D6" s="12" t="s">
        <x:v>146</x:v>
      </x:c>
      <x:c r="E6" s="6" t="s">
        <x:v>135</x:v>
      </x:c>
      <x:c r="F6" s="6" t="s">
        <x:v>14</x:v>
      </x:c>
    </x:row>
    <x:row r="7">
      <x:c r="B7" s="6"/>
      <x:c r="E7" s="6"/>
      <x:c r="F7" s="6"/>
    </x:row>
    <x:row r="8">
      <x:c r="B8" s="6"/>
      <x:c r="E8" s="6"/>
      <x:c r="F8" s="6"/>
    </x:row>
    <x:row r="9">
      <x:c r="B9" s="6"/>
      <x:c r="E9" s="6"/>
      <x:c r="F9" s="6"/>
    </x:row>
    <x:row r="10">
      <x:c r="B10" s="6"/>
      <x:c r="E10" s="6"/>
      <x:c r="F10" s="6"/>
    </x:row>
    <x:row r="11">
      <x:c r="B11" s="6"/>
      <x:c r="E11" s="6"/>
      <x:c r="F11" s="6"/>
    </x:row>
    <x:row r="12">
      <x:c r="B12" s="6"/>
      <x:c r="E12" s="6"/>
      <x:c r="F12" s="6"/>
    </x:row>
    <x:row r="13">
      <x:c r="B13" s="6"/>
      <x:c r="E13" s="6"/>
      <x:c r="F13" s="6"/>
    </x:row>
    <x:row r="14">
      <x:c r="B14" s="6"/>
      <x:c r="E14" s="6"/>
      <x:c r="F14" s="6"/>
    </x:row>
    <x:row r="15">
      <x:c r="B15" s="6"/>
      <x:c r="E15" s="6"/>
      <x:c r="F15" s="6"/>
    </x:row>
    <x:row r="16">
      <x:c r="B16" s="6"/>
      <x:c r="E16" s="6"/>
      <x:c r="F16" s="6"/>
    </x:row>
    <x:row r="17">
      <x:c r="B17" s="6"/>
      <x:c r="E17" s="6"/>
      <x:c r="F17" s="6"/>
    </x:row>
    <x:row r="18">
      <x:c r="B18" s="6"/>
      <x:c r="E18" s="6"/>
      <x:c r="F18" s="6"/>
    </x:row>
    <x:row r="19">
      <x:c r="B19" s="6"/>
      <x:c r="E19" s="6"/>
      <x:c r="F19" s="6"/>
    </x:row>
    <x:row r="20">
      <x:c r="B20" s="6"/>
      <x:c r="E20" s="6"/>
      <x:c r="F20" s="6"/>
    </x:row>
    <x:row r="21" ht="15.75" customHeight="1">
      <x:c r="B21" s="6"/>
      <x:c r="E21" s="6"/>
      <x:c r="F21" s="6"/>
    </x:row>
    <x:row r="22" ht="15.75" customHeight="1">
      <x:c r="B22" s="6"/>
      <x:c r="E22" s="6"/>
      <x:c r="F22" s="6"/>
    </x:row>
    <x:row r="23" ht="15.75" customHeight="1">
      <x:c r="B23" s="6"/>
      <x:c r="E23" s="6"/>
      <x:c r="F23" s="6"/>
    </x:row>
    <x:row r="24" ht="15.75" customHeight="1">
      <x:c r="B24" s="6"/>
      <x:c r="E24" s="6"/>
      <x:c r="F24" s="6"/>
    </x:row>
    <x:row r="25" ht="15.75" customHeight="1">
      <x:c r="B25" s="6"/>
      <x:c r="E25" s="6"/>
      <x:c r="F25" s="6"/>
    </x:row>
    <x:row r="26" ht="15.75" customHeight="1">
      <x:c r="B26" s="6"/>
      <x:c r="E26" s="6"/>
      <x:c r="F26" s="6"/>
    </x:row>
    <x:row r="27" ht="15.75" customHeight="1">
      <x:c r="B27" s="6"/>
      <x:c r="E27" s="6"/>
      <x:c r="F27" s="6"/>
    </x:row>
    <x:row r="28" ht="15.75" customHeight="1">
      <x:c r="B28" s="6"/>
      <x:c r="E28" s="6"/>
      <x:c r="F28" s="6"/>
    </x:row>
    <x:row r="29" ht="15.75" customHeight="1">
      <x:c r="B29" s="6"/>
      <x:c r="E29" s="6"/>
      <x:c r="F29" s="6"/>
    </x:row>
    <x:row r="30" ht="15.75" customHeight="1">
      <x:c r="B30" s="6"/>
      <x:c r="E30" s="6"/>
      <x:c r="F30" s="6"/>
    </x:row>
    <x:row r="31" ht="15.75" customHeight="1">
      <x:c r="B31" s="6"/>
      <x:c r="E31" s="6"/>
      <x:c r="F31" s="6"/>
    </x:row>
    <x:row r="32" ht="15.75" customHeight="1">
      <x:c r="B32" s="6"/>
      <x:c r="E32" s="6"/>
      <x:c r="F32" s="6"/>
    </x:row>
    <x:row r="33" ht="15.75" customHeight="1">
      <x:c r="B33" s="6"/>
      <x:c r="E33" s="6"/>
      <x:c r="F33" s="6"/>
    </x:row>
    <x:row r="34" ht="15.75" customHeight="1">
      <x:c r="B34" s="6"/>
      <x:c r="E34" s="6"/>
      <x:c r="F34" s="6"/>
    </x:row>
    <x:row r="35" ht="15.75" customHeight="1">
      <x:c r="B35" s="6"/>
      <x:c r="E35" s="6"/>
      <x:c r="F35" s="6"/>
    </x:row>
    <x:row r="36" ht="15.75" customHeight="1">
      <x:c r="B36" s="6"/>
      <x:c r="E36" s="6"/>
      <x:c r="F36" s="6"/>
    </x:row>
    <x:row r="37" ht="15.75" customHeight="1">
      <x:c r="B37" s="6"/>
      <x:c r="E37" s="6"/>
      <x:c r="F37" s="6"/>
    </x:row>
    <x:row r="38" ht="15.75" customHeight="1">
      <x:c r="B38" s="6"/>
      <x:c r="E38" s="6"/>
      <x:c r="F38" s="6"/>
    </x:row>
    <x:row r="39" ht="15.75" customHeight="1">
      <x:c r="B39" s="6"/>
      <x:c r="E39" s="6"/>
      <x:c r="F39" s="6"/>
    </x:row>
    <x:row r="40" ht="15.75" customHeight="1">
      <x:c r="B40" s="6"/>
      <x:c r="E40" s="6"/>
      <x:c r="F40" s="6"/>
    </x:row>
    <x:row r="41" ht="15.75" customHeight="1">
      <x:c r="B41" s="6"/>
      <x:c r="E41" s="6"/>
      <x:c r="F41" s="6"/>
    </x:row>
    <x:row r="42" ht="15.75" customHeight="1">
      <x:c r="B42" s="6"/>
      <x:c r="E42" s="6"/>
      <x:c r="F42" s="6"/>
    </x:row>
    <x:row r="43" ht="15.75" customHeight="1">
      <x:c r="B43" s="6"/>
      <x:c r="E43" s="6"/>
      <x:c r="F43" s="6"/>
    </x:row>
    <x:row r="44" ht="15.75" customHeight="1">
      <x:c r="B44" s="6"/>
      <x:c r="E44" s="6"/>
      <x:c r="F44" s="6"/>
    </x:row>
    <x:row r="45" ht="15.75" customHeight="1">
      <x:c r="B45" s="6"/>
      <x:c r="E45" s="6"/>
      <x:c r="F45" s="6"/>
    </x:row>
    <x:row r="46" ht="15.75" customHeight="1">
      <x:c r="B46" s="6"/>
      <x:c r="E46" s="6"/>
      <x:c r="F46" s="6"/>
    </x:row>
    <x:row r="47" ht="15.75" customHeight="1">
      <x:c r="B47" s="6"/>
      <x:c r="E47" s="6"/>
      <x:c r="F47" s="6"/>
    </x:row>
    <x:row r="48" ht="15.75" customHeight="1">
      <x:c r="B48" s="6"/>
      <x:c r="E48" s="6"/>
      <x:c r="F48" s="6"/>
    </x:row>
    <x:row r="49" ht="15.75" customHeight="1">
      <x:c r="B49" s="6"/>
      <x:c r="E49" s="6"/>
      <x:c r="F49" s="6"/>
    </x:row>
    <x:row r="50" ht="15.75" customHeight="1">
      <x:c r="B50" s="6"/>
      <x:c r="E50" s="6"/>
      <x:c r="F50" s="6"/>
    </x:row>
    <x:row r="51" ht="15.75" customHeight="1">
      <x:c r="B51" s="6"/>
      <x:c r="E51" s="6"/>
      <x:c r="F51" s="6"/>
    </x:row>
    <x:row r="52" ht="15.75" customHeight="1">
      <x:c r="B52" s="6"/>
      <x:c r="E52" s="6"/>
      <x:c r="F52" s="6"/>
    </x:row>
    <x:row r="53" ht="15.75" customHeight="1">
      <x:c r="B53" s="6"/>
      <x:c r="E53" s="6"/>
      <x:c r="F53" s="6"/>
    </x:row>
    <x:row r="54" ht="15.75" customHeight="1">
      <x:c r="B54" s="6"/>
      <x:c r="E54" s="6"/>
      <x:c r="F54" s="6"/>
    </x:row>
    <x:row r="55" ht="15.75" customHeight="1">
      <x:c r="B55" s="6"/>
      <x:c r="E55" s="6"/>
      <x:c r="F55" s="6"/>
    </x:row>
    <x:row r="56" ht="15.75" customHeight="1">
      <x:c r="B56" s="6"/>
      <x:c r="E56" s="6"/>
      <x:c r="F56" s="6"/>
    </x:row>
    <x:row r="57" ht="15.75" customHeight="1">
      <x:c r="B57" s="6"/>
      <x:c r="E57" s="6"/>
      <x:c r="F57" s="6"/>
    </x:row>
    <x:row r="58" ht="15.75" customHeight="1">
      <x:c r="B58" s="6"/>
      <x:c r="E58" s="6"/>
      <x:c r="F58" s="6"/>
    </x:row>
    <x:row r="59" ht="15.75" customHeight="1">
      <x:c r="B59" s="6"/>
      <x:c r="E59" s="6"/>
      <x:c r="F59" s="6"/>
    </x:row>
    <x:row r="60" ht="15.75" customHeight="1">
      <x:c r="B60" s="6"/>
      <x:c r="E60" s="6"/>
      <x:c r="F60" s="6"/>
    </x:row>
    <x:row r="61" ht="15.75" customHeight="1">
      <x:c r="B61" s="6"/>
      <x:c r="E61" s="6"/>
      <x:c r="F61" s="6"/>
    </x:row>
    <x:row r="62" ht="15.75" customHeight="1">
      <x:c r="B62" s="6"/>
      <x:c r="E62" s="6"/>
      <x:c r="F62" s="6"/>
    </x:row>
    <x:row r="63" ht="15.75" customHeight="1">
      <x:c r="B63" s="6"/>
      <x:c r="E63" s="6"/>
      <x:c r="F63" s="6"/>
    </x:row>
    <x:row r="64" ht="15.75" customHeight="1">
      <x:c r="B64" s="6"/>
      <x:c r="E64" s="6"/>
      <x:c r="F64" s="6"/>
    </x:row>
    <x:row r="65" ht="15.75" customHeight="1">
      <x:c r="B65" s="6"/>
      <x:c r="E65" s="6"/>
      <x:c r="F65" s="6"/>
    </x:row>
    <x:row r="66" ht="15.75" customHeight="1">
      <x:c r="B66" s="6"/>
      <x:c r="E66" s="6"/>
      <x:c r="F66" s="6"/>
    </x:row>
    <x:row r="67" ht="15.75" customHeight="1">
      <x:c r="B67" s="6"/>
      <x:c r="E67" s="6"/>
      <x:c r="F67" s="6"/>
    </x:row>
    <x:row r="68" ht="15.75" customHeight="1">
      <x:c r="B68" s="6"/>
      <x:c r="E68" s="6"/>
      <x:c r="F68" s="6"/>
    </x:row>
    <x:row r="69" ht="15.75" customHeight="1">
      <x:c r="B69" s="6"/>
      <x:c r="E69" s="6"/>
      <x:c r="F69" s="6"/>
    </x:row>
    <x:row r="70" ht="15.75" customHeight="1">
      <x:c r="B70" s="6"/>
      <x:c r="E70" s="6"/>
      <x:c r="F70" s="6"/>
    </x:row>
    <x:row r="71" ht="15.75" customHeight="1">
      <x:c r="B71" s="6"/>
      <x:c r="E71" s="6"/>
      <x:c r="F71" s="6"/>
    </x:row>
    <x:row r="72" ht="15.75" customHeight="1">
      <x:c r="B72" s="6"/>
      <x:c r="E72" s="6"/>
      <x:c r="F72" s="6"/>
    </x:row>
    <x:row r="73" ht="15.75" customHeight="1">
      <x:c r="B73" s="6"/>
      <x:c r="E73" s="6"/>
      <x:c r="F73" s="6"/>
    </x:row>
    <x:row r="74" ht="15.75" customHeight="1">
      <x:c r="B74" s="6"/>
      <x:c r="E74" s="6"/>
      <x:c r="F74" s="6"/>
    </x:row>
    <x:row r="75" ht="15.75" customHeight="1">
      <x:c r="B75" s="6"/>
      <x:c r="E75" s="6"/>
      <x:c r="F75" s="6"/>
    </x:row>
    <x:row r="76" ht="15.75" customHeight="1">
      <x:c r="B76" s="6"/>
      <x:c r="E76" s="6"/>
      <x:c r="F76" s="6"/>
    </x:row>
    <x:row r="77" ht="15.75" customHeight="1">
      <x:c r="B77" s="6"/>
      <x:c r="E77" s="6"/>
      <x:c r="F77" s="6"/>
    </x:row>
    <x:row r="78" ht="15.75" customHeight="1">
      <x:c r="B78" s="6"/>
      <x:c r="E78" s="6"/>
      <x:c r="F78" s="6"/>
    </x:row>
    <x:row r="79" ht="15.75" customHeight="1">
      <x:c r="B79" s="6"/>
      <x:c r="E79" s="6"/>
      <x:c r="F79" s="6"/>
    </x:row>
    <x:row r="80" ht="15.75" customHeight="1">
      <x:c r="B80" s="6"/>
      <x:c r="E80" s="6"/>
      <x:c r="F80" s="6"/>
    </x:row>
    <x:row r="81" ht="15.75" customHeight="1">
      <x:c r="B81" s="6"/>
      <x:c r="E81" s="6"/>
      <x:c r="F81" s="6"/>
    </x:row>
    <x:row r="82" ht="15.75" customHeight="1">
      <x:c r="B82" s="6"/>
      <x:c r="E82" s="6"/>
      <x:c r="F82" s="6"/>
    </x:row>
    <x:row r="83" ht="15.75" customHeight="1">
      <x:c r="B83" s="6"/>
      <x:c r="E83" s="6"/>
      <x:c r="F83" s="6"/>
    </x:row>
    <x:row r="84" ht="15.75" customHeight="1">
      <x:c r="B84" s="6"/>
      <x:c r="E84" s="6"/>
      <x:c r="F84" s="6"/>
    </x:row>
    <x:row r="85" ht="15.75" customHeight="1">
      <x:c r="B85" s="6"/>
      <x:c r="E85" s="6"/>
      <x:c r="F85" s="6"/>
    </x:row>
    <x:row r="86" ht="15.75" customHeight="1">
      <x:c r="B86" s="6"/>
      <x:c r="E86" s="6"/>
      <x:c r="F86" s="6"/>
    </x:row>
    <x:row r="87" ht="15.75" customHeight="1">
      <x:c r="B87" s="6"/>
      <x:c r="E87" s="6"/>
      <x:c r="F87" s="6"/>
    </x:row>
    <x:row r="88" ht="15.75" customHeight="1">
      <x:c r="B88" s="6"/>
      <x:c r="E88" s="6"/>
      <x:c r="F88" s="6"/>
    </x:row>
    <x:row r="89" ht="15.75" customHeight="1">
      <x:c r="B89" s="6"/>
      <x:c r="E89" s="6"/>
      <x:c r="F89" s="6"/>
    </x:row>
    <x:row r="90" ht="15.75" customHeight="1">
      <x:c r="B90" s="6"/>
      <x:c r="E90" s="6"/>
      <x:c r="F90" s="6"/>
    </x:row>
    <x:row r="91" ht="15.75" customHeight="1">
      <x:c r="B91" s="6"/>
      <x:c r="E91" s="6"/>
      <x:c r="F91" s="6"/>
    </x:row>
    <x:row r="92" ht="15.75" customHeight="1">
      <x:c r="B92" s="6"/>
      <x:c r="E92" s="6"/>
      <x:c r="F92" s="6"/>
    </x:row>
    <x:row r="93" ht="15.75" customHeight="1">
      <x:c r="B93" s="6"/>
      <x:c r="E93" s="6"/>
      <x:c r="F93" s="6"/>
    </x:row>
    <x:row r="94" ht="15.75" customHeight="1">
      <x:c r="B94" s="6"/>
      <x:c r="E94" s="6"/>
      <x:c r="F94" s="6"/>
    </x:row>
    <x:row r="95" ht="15.75" customHeight="1">
      <x:c r="B95" s="6"/>
      <x:c r="E95" s="6"/>
      <x:c r="F95" s="6"/>
    </x:row>
    <x:row r="96" ht="15.75" customHeight="1">
      <x:c r="B96" s="6"/>
      <x:c r="E96" s="6"/>
      <x:c r="F96" s="6"/>
    </x:row>
    <x:row r="97" ht="15.75" customHeight="1">
      <x:c r="B97" s="6"/>
      <x:c r="E97" s="6"/>
      <x:c r="F97" s="6"/>
    </x:row>
    <x:row r="98" ht="15.75" customHeight="1">
      <x:c r="B98" s="6"/>
      <x:c r="E98" s="6"/>
      <x:c r="F98" s="6"/>
    </x:row>
    <x:row r="99" ht="15.75" customHeight="1">
      <x:c r="B99" s="6"/>
      <x:c r="E99" s="6"/>
      <x:c r="F99" s="6"/>
    </x:row>
    <x:row r="100" ht="15.75" customHeight="1">
      <x:c r="B100" s="6"/>
      <x:c r="E100" s="6"/>
      <x:c r="F100" s="6"/>
    </x:row>
    <x:row r="101" ht="15.75" customHeight="1">
      <x:c r="B101" s="6"/>
      <x:c r="E101" s="6"/>
      <x:c r="F101" s="6"/>
    </x:row>
    <x:row r="102" ht="15.75" customHeight="1">
      <x:c r="B102" s="6"/>
      <x:c r="E102" s="6"/>
      <x:c r="F102" s="6"/>
    </x:row>
    <x:row r="103" ht="15.75" customHeight="1">
      <x:c r="B103" s="6"/>
      <x:c r="E103" s="6"/>
      <x:c r="F103" s="6"/>
    </x:row>
    <x:row r="104" ht="15.75" customHeight="1">
      <x:c r="B104" s="6"/>
      <x:c r="E104" s="6"/>
      <x:c r="F104" s="6"/>
    </x:row>
    <x:row r="105" ht="15.75" customHeight="1">
      <x:c r="B105" s="6"/>
      <x:c r="E105" s="6"/>
      <x:c r="F105" s="6"/>
    </x:row>
    <x:row r="106" ht="15.75" customHeight="1">
      <x:c r="B106" s="6"/>
      <x:c r="E106" s="6"/>
      <x:c r="F106" s="6"/>
    </x:row>
    <x:row r="107" ht="15.75" customHeight="1">
      <x:c r="B107" s="6"/>
      <x:c r="E107" s="6"/>
      <x:c r="F107" s="6"/>
    </x:row>
    <x:row r="108" ht="15.75" customHeight="1">
      <x:c r="B108" s="6"/>
      <x:c r="E108" s="6"/>
      <x:c r="F108" s="6"/>
    </x:row>
    <x:row r="109" ht="15.75" customHeight="1">
      <x:c r="B109" s="6"/>
      <x:c r="E109" s="6"/>
      <x:c r="F109" s="6"/>
    </x:row>
    <x:row r="110" ht="15.75" customHeight="1">
      <x:c r="B110" s="6"/>
      <x:c r="E110" s="6"/>
      <x:c r="F110" s="6"/>
    </x:row>
    <x:row r="111" ht="15.75" customHeight="1">
      <x:c r="B111" s="6"/>
      <x:c r="E111" s="6"/>
      <x:c r="F111" s="6"/>
    </x:row>
    <x:row r="112" ht="15.75" customHeight="1">
      <x:c r="B112" s="6"/>
      <x:c r="E112" s="6"/>
      <x:c r="F112" s="6"/>
    </x:row>
    <x:row r="113" ht="15.75" customHeight="1">
      <x:c r="B113" s="6"/>
      <x:c r="E113" s="6"/>
      <x:c r="F113" s="6"/>
    </x:row>
    <x:row r="114" ht="15.75" customHeight="1">
      <x:c r="B114" s="6"/>
      <x:c r="E114" s="6"/>
      <x:c r="F114" s="6"/>
    </x:row>
    <x:row r="115" ht="15.75" customHeight="1">
      <x:c r="B115" s="6"/>
      <x:c r="E115" s="6"/>
      <x:c r="F115" s="6"/>
    </x:row>
    <x:row r="116" ht="15.75" customHeight="1">
      <x:c r="B116" s="6"/>
      <x:c r="E116" s="6"/>
      <x:c r="F116" s="6"/>
    </x:row>
    <x:row r="117" ht="15.75" customHeight="1">
      <x:c r="B117" s="6"/>
      <x:c r="E117" s="6"/>
      <x:c r="F117" s="6"/>
    </x:row>
    <x:row r="118" ht="15.75" customHeight="1">
      <x:c r="B118" s="6"/>
      <x:c r="E118" s="6"/>
      <x:c r="F118" s="6"/>
    </x:row>
    <x:row r="119" ht="15.75" customHeight="1">
      <x:c r="B119" s="6"/>
      <x:c r="E119" s="6"/>
      <x:c r="F119" s="6"/>
    </x:row>
    <x:row r="120" ht="15.75" customHeight="1">
      <x:c r="B120" s="6"/>
      <x:c r="E120" s="6"/>
      <x:c r="F120" s="6"/>
    </x:row>
    <x:row r="121" ht="15.75" customHeight="1">
      <x:c r="B121" s="6"/>
      <x:c r="E121" s="6"/>
      <x:c r="F121" s="6"/>
    </x:row>
    <x:row r="122" ht="15.75" customHeight="1">
      <x:c r="B122" s="6"/>
      <x:c r="E122" s="6"/>
      <x:c r="F122" s="6"/>
    </x:row>
    <x:row r="123" ht="15.75" customHeight="1">
      <x:c r="B123" s="6"/>
      <x:c r="E123" s="6"/>
      <x:c r="F123" s="6"/>
    </x:row>
    <x:row r="124" ht="15.75" customHeight="1">
      <x:c r="B124" s="6"/>
      <x:c r="E124" s="6"/>
      <x:c r="F124" s="6"/>
    </x:row>
    <x:row r="125" ht="15.75" customHeight="1">
      <x:c r="B125" s="6"/>
      <x:c r="E125" s="6"/>
      <x:c r="F125" s="6"/>
    </x:row>
    <x:row r="126" ht="15.75" customHeight="1">
      <x:c r="B126" s="6"/>
      <x:c r="E126" s="6"/>
      <x:c r="F126" s="6"/>
    </x:row>
    <x:row r="127" ht="15.75" customHeight="1">
      <x:c r="B127" s="6"/>
      <x:c r="E127" s="6"/>
      <x:c r="F127" s="6"/>
    </x:row>
    <x:row r="128" ht="15.75" customHeight="1">
      <x:c r="B128" s="6"/>
      <x:c r="E128" s="6"/>
      <x:c r="F128" s="6"/>
    </x:row>
    <x:row r="129" ht="15.75" customHeight="1">
      <x:c r="B129" s="6"/>
      <x:c r="E129" s="6"/>
      <x:c r="F129" s="6"/>
    </x:row>
    <x:row r="130" ht="15.75" customHeight="1">
      <x:c r="B130" s="6"/>
      <x:c r="E130" s="6"/>
      <x:c r="F130" s="6"/>
    </x:row>
    <x:row r="131" ht="15.75" customHeight="1">
      <x:c r="B131" s="6"/>
      <x:c r="E131" s="6"/>
      <x:c r="F131" s="6"/>
    </x:row>
    <x:row r="132" ht="15.75" customHeight="1">
      <x:c r="B132" s="6"/>
      <x:c r="E132" s="6"/>
      <x:c r="F132" s="6"/>
    </x:row>
    <x:row r="133" ht="15.75" customHeight="1">
      <x:c r="B133" s="6"/>
      <x:c r="E133" s="6"/>
      <x:c r="F133" s="6"/>
    </x:row>
    <x:row r="134" ht="15.75" customHeight="1">
      <x:c r="B134" s="6"/>
      <x:c r="E134" s="6"/>
      <x:c r="F134" s="6"/>
    </x:row>
    <x:row r="135" ht="15.75" customHeight="1">
      <x:c r="B135" s="6"/>
      <x:c r="E135" s="6"/>
      <x:c r="F135" s="6"/>
    </x:row>
    <x:row r="136" ht="15.75" customHeight="1">
      <x:c r="B136" s="6"/>
      <x:c r="E136" s="6"/>
      <x:c r="F136" s="6"/>
    </x:row>
    <x:row r="137" ht="15.75" customHeight="1">
      <x:c r="B137" s="6"/>
      <x:c r="E137" s="6"/>
      <x:c r="F137" s="6"/>
    </x:row>
    <x:row r="138" ht="15.75" customHeight="1">
      <x:c r="B138" s="6"/>
      <x:c r="E138" s="6"/>
      <x:c r="F138" s="6"/>
    </x:row>
    <x:row r="139" ht="15.75" customHeight="1">
      <x:c r="B139" s="6"/>
      <x:c r="E139" s="6"/>
      <x:c r="F139" s="6"/>
    </x:row>
    <x:row r="140" ht="15.75" customHeight="1">
      <x:c r="B140" s="6"/>
      <x:c r="E140" s="6"/>
      <x:c r="F140" s="6"/>
    </x:row>
    <x:row r="141" ht="15.75" customHeight="1">
      <x:c r="B141" s="6"/>
      <x:c r="E141" s="6"/>
      <x:c r="F141" s="6"/>
    </x:row>
    <x:row r="142" ht="15.75" customHeight="1">
      <x:c r="B142" s="6"/>
      <x:c r="E142" s="6"/>
      <x:c r="F142" s="6"/>
    </x:row>
    <x:row r="143" ht="15.75" customHeight="1">
      <x:c r="B143" s="6"/>
      <x:c r="E143" s="6"/>
      <x:c r="F143" s="6"/>
    </x:row>
    <x:row r="144" ht="15.75" customHeight="1">
      <x:c r="B144" s="6"/>
      <x:c r="E144" s="6"/>
      <x:c r="F144" s="6"/>
    </x:row>
    <x:row r="145" ht="15.75" customHeight="1">
      <x:c r="B145" s="6"/>
      <x:c r="E145" s="6"/>
      <x:c r="F145" s="6"/>
    </x:row>
    <x:row r="146" ht="15.75" customHeight="1">
      <x:c r="B146" s="6"/>
      <x:c r="E146" s="6"/>
      <x:c r="F146" s="6"/>
    </x:row>
    <x:row r="147" ht="15.75" customHeight="1">
      <x:c r="B147" s="6"/>
      <x:c r="E147" s="6"/>
      <x:c r="F147" s="6"/>
    </x:row>
    <x:row r="148" ht="15.75" customHeight="1">
      <x:c r="B148" s="6"/>
      <x:c r="E148" s="6"/>
      <x:c r="F148" s="6"/>
    </x:row>
    <x:row r="149" ht="15.75" customHeight="1">
      <x:c r="B149" s="6"/>
      <x:c r="E149" s="6"/>
      <x:c r="F149" s="6"/>
    </x:row>
    <x:row r="150" ht="15.75" customHeight="1">
      <x:c r="B150" s="6"/>
      <x:c r="E150" s="6"/>
      <x:c r="F150" s="6"/>
    </x:row>
    <x:row r="151" ht="15.75" customHeight="1">
      <x:c r="B151" s="6"/>
      <x:c r="E151" s="6"/>
      <x:c r="F151" s="6"/>
    </x:row>
    <x:row r="152" ht="15.75" customHeight="1">
      <x:c r="B152" s="6"/>
      <x:c r="E152" s="6"/>
      <x:c r="F152" s="6"/>
    </x:row>
    <x:row r="153" ht="15.75" customHeight="1">
      <x:c r="B153" s="6"/>
      <x:c r="E153" s="6"/>
      <x:c r="F153" s="6"/>
    </x:row>
    <x:row r="154" ht="15.75" customHeight="1">
      <x:c r="B154" s="6"/>
      <x:c r="E154" s="6"/>
      <x:c r="F154" s="6"/>
    </x:row>
    <x:row r="155" ht="15.75" customHeight="1">
      <x:c r="B155" s="6"/>
      <x:c r="E155" s="6"/>
      <x:c r="F155" s="6"/>
    </x:row>
    <x:row r="156" ht="15.75" customHeight="1">
      <x:c r="B156" s="6"/>
      <x:c r="E156" s="6"/>
      <x:c r="F156" s="6"/>
    </x:row>
    <x:row r="157" ht="15.75" customHeight="1">
      <x:c r="B157" s="6"/>
      <x:c r="E157" s="6"/>
      <x:c r="F157" s="6"/>
    </x:row>
    <x:row r="158" ht="15.75" customHeight="1">
      <x:c r="B158" s="6"/>
      <x:c r="E158" s="6"/>
      <x:c r="F158" s="6"/>
    </x:row>
    <x:row r="159" ht="15.75" customHeight="1">
      <x:c r="B159" s="6"/>
      <x:c r="E159" s="6"/>
      <x:c r="F159" s="6"/>
    </x:row>
    <x:row r="160" ht="15.75" customHeight="1">
      <x:c r="B160" s="6"/>
      <x:c r="E160" s="6"/>
      <x:c r="F160" s="6"/>
    </x:row>
    <x:row r="161" ht="15.75" customHeight="1">
      <x:c r="B161" s="6"/>
      <x:c r="E161" s="6"/>
      <x:c r="F161" s="6"/>
    </x:row>
    <x:row r="162" ht="15.75" customHeight="1">
      <x:c r="B162" s="6"/>
      <x:c r="E162" s="6"/>
      <x:c r="F162" s="6"/>
    </x:row>
    <x:row r="163" ht="15.75" customHeight="1">
      <x:c r="B163" s="6"/>
      <x:c r="E163" s="6"/>
      <x:c r="F163" s="6"/>
    </x:row>
    <x:row r="164" ht="15.75" customHeight="1">
      <x:c r="B164" s="6"/>
      <x:c r="E164" s="6"/>
      <x:c r="F164" s="6"/>
    </x:row>
    <x:row r="165" ht="15.75" customHeight="1">
      <x:c r="B165" s="6"/>
      <x:c r="E165" s="6"/>
      <x:c r="F165" s="6"/>
    </x:row>
    <x:row r="166" ht="15.75" customHeight="1">
      <x:c r="B166" s="6"/>
      <x:c r="E166" s="6"/>
      <x:c r="F166" s="6"/>
    </x:row>
    <x:row r="167" ht="15.75" customHeight="1">
      <x:c r="B167" s="6"/>
      <x:c r="E167" s="6"/>
      <x:c r="F167" s="6"/>
    </x:row>
    <x:row r="168" ht="15.75" customHeight="1">
      <x:c r="B168" s="6"/>
      <x:c r="E168" s="6"/>
      <x:c r="F168" s="6"/>
    </x:row>
    <x:row r="169" ht="15.75" customHeight="1">
      <x:c r="B169" s="6"/>
      <x:c r="E169" s="6"/>
      <x:c r="F169" s="6"/>
    </x:row>
    <x:row r="170" ht="15.75" customHeight="1">
      <x:c r="B170" s="6"/>
      <x:c r="E170" s="6"/>
      <x:c r="F170" s="6"/>
    </x:row>
    <x:row r="171" ht="15.75" customHeight="1">
      <x:c r="B171" s="6"/>
      <x:c r="E171" s="6"/>
      <x:c r="F171" s="6"/>
    </x:row>
    <x:row r="172" ht="15.75" customHeight="1">
      <x:c r="B172" s="6"/>
      <x:c r="E172" s="6"/>
      <x:c r="F172" s="6"/>
    </x:row>
    <x:row r="173" ht="15.75" customHeight="1">
      <x:c r="B173" s="6"/>
      <x:c r="E173" s="6"/>
      <x:c r="F173" s="6"/>
    </x:row>
    <x:row r="174" ht="15.75" customHeight="1">
      <x:c r="B174" s="6"/>
      <x:c r="E174" s="6"/>
      <x:c r="F174" s="6"/>
    </x:row>
    <x:row r="175" ht="15.75" customHeight="1">
      <x:c r="B175" s="6"/>
      <x:c r="E175" s="6"/>
      <x:c r="F175" s="6"/>
    </x:row>
    <x:row r="176" ht="15.75" customHeight="1">
      <x:c r="B176" s="6"/>
      <x:c r="E176" s="6"/>
      <x:c r="F176" s="6"/>
    </x:row>
    <x:row r="177" ht="15.75" customHeight="1">
      <x:c r="B177" s="6"/>
      <x:c r="E177" s="6"/>
      <x:c r="F177" s="6"/>
    </x:row>
    <x:row r="178" ht="15.75" customHeight="1">
      <x:c r="B178" s="6"/>
      <x:c r="E178" s="6"/>
      <x:c r="F178" s="6"/>
    </x:row>
    <x:row r="179" ht="15.75" customHeight="1">
      <x:c r="B179" s="6"/>
      <x:c r="E179" s="6"/>
      <x:c r="F179" s="6"/>
    </x:row>
    <x:row r="180" ht="15.75" customHeight="1">
      <x:c r="B180" s="6"/>
      <x:c r="E180" s="6"/>
      <x:c r="F180" s="6"/>
    </x:row>
    <x:row r="181" ht="15.75" customHeight="1">
      <x:c r="B181" s="6"/>
      <x:c r="E181" s="6"/>
      <x:c r="F181" s="6"/>
    </x:row>
    <x:row r="182" ht="15.75" customHeight="1">
      <x:c r="B182" s="6"/>
      <x:c r="E182" s="6"/>
      <x:c r="F182" s="6"/>
    </x:row>
    <x:row r="183" ht="15.75" customHeight="1">
      <x:c r="B183" s="6"/>
      <x:c r="E183" s="6"/>
      <x:c r="F183" s="6"/>
    </x:row>
    <x:row r="184" ht="15.75" customHeight="1">
      <x:c r="B184" s="6"/>
      <x:c r="E184" s="6"/>
      <x:c r="F184" s="6"/>
    </x:row>
    <x:row r="185" ht="15.75" customHeight="1">
      <x:c r="B185" s="6"/>
      <x:c r="E185" s="6"/>
      <x:c r="F185" s="6"/>
    </x:row>
    <x:row r="186" ht="15.75" customHeight="1">
      <x:c r="B186" s="6"/>
      <x:c r="E186" s="6"/>
      <x:c r="F186" s="6"/>
    </x:row>
    <x:row r="187" ht="15.75" customHeight="1">
      <x:c r="B187" s="6"/>
      <x:c r="E187" s="6"/>
      <x:c r="F187" s="6"/>
    </x:row>
    <x:row r="188" ht="15.75" customHeight="1">
      <x:c r="B188" s="6"/>
      <x:c r="E188" s="6"/>
      <x:c r="F188" s="6"/>
    </x:row>
    <x:row r="189" ht="15.75" customHeight="1">
      <x:c r="B189" s="6"/>
      <x:c r="E189" s="6"/>
      <x:c r="F189" s="6"/>
    </x:row>
    <x:row r="190" ht="15.75" customHeight="1">
      <x:c r="B190" s="6"/>
      <x:c r="E190" s="6"/>
      <x:c r="F190" s="6"/>
    </x:row>
    <x:row r="191" ht="15.75" customHeight="1">
      <x:c r="B191" s="6"/>
      <x:c r="E191" s="6"/>
      <x:c r="F191" s="6"/>
    </x:row>
    <x:row r="192" ht="15.75" customHeight="1">
      <x:c r="B192" s="6"/>
      <x:c r="E192" s="6"/>
      <x:c r="F192" s="6"/>
    </x:row>
    <x:row r="193" ht="15.75" customHeight="1">
      <x:c r="B193" s="6"/>
      <x:c r="E193" s="6"/>
      <x:c r="F193" s="6"/>
    </x:row>
    <x:row r="194" ht="15.75" customHeight="1">
      <x:c r="B194" s="6"/>
      <x:c r="E194" s="6"/>
      <x:c r="F194" s="6"/>
    </x:row>
    <x:row r="195" ht="15.75" customHeight="1">
      <x:c r="B195" s="6"/>
      <x:c r="E195" s="6"/>
      <x:c r="F195" s="6"/>
    </x:row>
    <x:row r="196" ht="15.75" customHeight="1">
      <x:c r="B196" s="6"/>
      <x:c r="E196" s="6"/>
      <x:c r="F196" s="6"/>
    </x:row>
    <x:row r="197" ht="15.75" customHeight="1">
      <x:c r="B197" s="6"/>
      <x:c r="E197" s="6"/>
      <x:c r="F197" s="6"/>
    </x:row>
    <x:row r="198" ht="15.75" customHeight="1">
      <x:c r="B198" s="6"/>
      <x:c r="E198" s="6"/>
      <x:c r="F198" s="6"/>
    </x:row>
    <x:row r="199" ht="15.75" customHeight="1">
      <x:c r="B199" s="6"/>
      <x:c r="E199" s="6"/>
      <x:c r="F199" s="6"/>
    </x:row>
    <x:row r="200" ht="15.75" customHeight="1">
      <x:c r="B200" s="6"/>
      <x:c r="E200" s="6"/>
      <x:c r="F200" s="6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F2:F200">
      <x:formula1>"Y,N"</x:formula1>
    </x:dataValidation>
    <x:dataValidation type="list" allowBlank="1" sqref="B2:B200">
      <x:formula1>"Recognition,Opportunity,Partnership,Risk,Watch Item"</x:formula1>
    </x:dataValidation>
    <x:dataValidation type="list" allowBlank="1" sqref="E2:E200">
      <x:formula1>"Low,Medium,High"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95" hidden="0" customWidth="1"/>
    <x:col min="2" max="6" width="8.630000114440918" customWidth="1"/>
  </x:cols>
  <x:sheetData>
    <x:row r="1">
      <x:c r="A1" s="40" t="s">
        <x:v>147</x:v>
      </x:c>
    </x:row>
    <x:row r="3">
      <x:c r="A3" s="41" t="s">
        <x:v>148</x:v>
      </x:c>
    </x:row>
    <x:row r="4">
      <x:c r="A4" s="6" t="s">
        <x:v>149</x:v>
      </x:c>
    </x:row>
    <x:row r="5">
      <x:c r="A5" s="6" t="s">
        <x:v>150</x:v>
      </x:c>
    </x:row>
    <x:row r="6">
      <x:c r="A6" s="6" t="s">
        <x:v>151</x:v>
      </x:c>
    </x:row>
    <x:row r="7">
      <x:c r="A7" s="6" t="s">
        <x:v>152</x:v>
      </x:c>
    </x:row>
    <x:row r="8">
      <x:c r="A8" s="6" t="s">
        <x:v>153</x:v>
      </x:c>
    </x:row>
    <x:row r="10">
      <x:c r="A10" s="41" t="s">
        <x:v>154</x:v>
      </x:c>
    </x:row>
    <x:row r="11">
      <x:c r="A11" s="6" t="s">
        <x:v>155</x:v>
      </x:c>
    </x:row>
    <x:row r="13">
      <x:c r="A13" s="6" t="s">
        <x:v>156</x:v>
      </x:c>
    </x:row>
    <x:row r="15">
      <x:c r="A15" s="83" t="str">
        <x:v>Excel / GitHub workflow</x:v>
      </x:c>
    </x:row>
    <x:row r="16">
      <x:c r="A16" s="62" t="str">
        <x:v>Operational entry tabs: SU 2026 All Team, Ops, Education, Public Engagement.</x:v>
      </x:c>
    </x:row>
    <x:row r="17">
      <x:c r="A17" s="62" t="str">
        <x:v>Dashboard system tabs: Metric_Dictionary, Dashboard_Values, Metric_Calculation_Values, Dashboard_Export, Narrative, Board_Briefing.</x:v>
      </x:c>
    </x:row>
    <x:row r="18">
      <x:c r="A18" s="62" t="str">
        <x:v>Staff can continue maintaining the operational tabs in Excel.</x:v>
      </x:c>
    </x:row>
    <x:row r="19">
      <x:c r="A19" s="62" t="str">
        <x:v>GitHub Actions will export the dashboard-facing sheets to CSV for the web dashboard.</x:v>
      </x:c>
    </x:row>
    <x:row r="20">
      <x:c r="A20" s="62" t="str">
        <x:v>The operational tabs were copied from NDGTS Dashboard Summer 2026.xlsx.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95.25" hidden="0" customWidth="1"/>
    <x:col min="3" max="3" width="17.3799991607666" hidden="0" customWidth="1"/>
    <x:col min="4" max="4" width="49.630001068115234" hidden="0" customWidth="1"/>
    <x:col min="5" max="5" width="12.25" hidden="0" customWidth="1"/>
    <x:col min="6" max="6" width="9.25" hidden="0" customWidth="1"/>
    <x:col min="7" max="7" width="5.25" hidden="0" customWidth="1"/>
    <x:col min="8" max="8" width="6.130000114440918" hidden="0" customWidth="1"/>
    <x:col min="9" max="9" width="6.130000114440918" hidden="0" customWidth="1"/>
    <x:col min="10" max="10" width="6.130000114440918" hidden="0" customWidth="1"/>
    <x:col min="11" max="11" width="6.130000114440918" hidden="0" customWidth="1"/>
    <x:col min="12" max="12" width="6.130000114440918" hidden="0" customWidth="1"/>
    <x:col min="13" max="13" width="6.130000114440918" hidden="0" customWidth="1"/>
    <x:col min="14" max="14" width="6.130000114440918" hidden="0" customWidth="1"/>
    <x:col min="15" max="15" width="6.130000114440918" hidden="0" customWidth="1"/>
    <x:col min="16" max="16" width="6.130000114440918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4.75" hidden="0" customWidth="1"/>
    <x:col min="25" max="25" width="4.75" hidden="0" customWidth="1"/>
    <x:col min="26" max="26" width="4.75" hidden="0" customWidth="1"/>
    <x:col min="27" max="27" width="4.75" hidden="0" customWidth="1"/>
  </x:cols>
  <x:sheetData>
    <x:row r="1" ht="15" hidden="0" customHeight="1">
      <x:c r="A1"/>
      <x:c r="B1"/>
      <x:c r="C1"/>
      <x:c r="D1"/>
      <x:c r="E1"/>
      <x:c r="F1"/>
      <x:c r="G1"/>
      <x:c r="H1" t="s">
        <x:v>157</x:v>
      </x:c>
      <x:c r="I1" t="s">
        <x:v>158</x:v>
      </x:c>
      <x:c r="J1" t="s">
        <x:v>159</x:v>
      </x:c>
      <x:c r="K1" t="s">
        <x:v>160</x:v>
      </x:c>
      <x:c r="L1" t="s">
        <x:v>161</x:v>
      </x:c>
      <x:c r="M1" t="s">
        <x:v>162</x:v>
      </x:c>
      <x:c r="N1" t="s">
        <x:v>163</x:v>
      </x:c>
      <x:c r="O1" t="s">
        <x:v>164</x:v>
      </x:c>
      <x:c r="P1" t="s">
        <x:v>165</x:v>
      </x:c>
      <x:c r="Q1" t="s">
        <x:v>166</x:v>
      </x:c>
      <x:c r="R1" t="s">
        <x:v>167</x:v>
      </x:c>
      <x:c r="S1" t="s">
        <x:v>168</x:v>
      </x:c>
      <x:c r="T1" t="s">
        <x:v>169</x:v>
      </x:c>
      <x:c r="U1" t="s">
        <x:v>170</x:v>
      </x:c>
      <x:c r="V1" t="s">
        <x:v>171</x:v>
      </x:c>
      <x:c r="W1" t="s">
        <x:v>172</x:v>
      </x:c>
      <x:c r="X1"/>
      <x:c r="Y1"/>
      <x:c r="Z1"/>
      <x:c r="AA1"/>
    </x:row>
    <x:row r="2" ht="15" hidden="0" customHeight="1">
      <x:c r="A2" t="s">
        <x:v>173</x:v>
      </x:c>
      <x:c r="B2" t="s">
        <x:v>174</x:v>
      </x:c>
      <x:c r="C2" t="s">
        <x:v>175</x:v>
      </x:c>
      <x:c r="D2" t="s">
        <x:v>176</x:v>
      </x:c>
      <x:c r="E2" t="s">
        <x:v>177</x:v>
      </x:c>
      <x:c r="F2" t="s">
        <x:v>178</x:v>
      </x:c>
      <x:c r="G2" t="s">
        <x:v>179</x:v>
      </x:c>
      <x:c r="H2">
        <x:v>46152</x:v>
      </x:c>
      <x:c r="I2" t="n">
        <x:f>H3+1</x:f>
        <x:v>46159</x:v>
      </x:c>
      <x:c r="J2">
        <x:v>46166</x:v>
      </x:c>
      <x:c r="K2">
        <x:v>46173</x:v>
      </x:c>
      <x:c r="L2">
        <x:v>46180</x:v>
      </x:c>
      <x:c r="M2">
        <x:v>46187</x:v>
      </x:c>
      <x:c r="N2">
        <x:v>46194</x:v>
      </x:c>
      <x:c r="O2">
        <x:v>46201</x:v>
      </x:c>
      <x:c r="P2">
        <x:v>46208</x:v>
      </x:c>
      <x:c r="Q2">
        <x:v>46215</x:v>
      </x:c>
      <x:c r="R2">
        <x:v>46222</x:v>
      </x:c>
      <x:c r="S2">
        <x:v>46229</x:v>
      </x:c>
      <x:c r="T2">
        <x:v>46236</x:v>
      </x:c>
      <x:c r="U2">
        <x:v>46243</x:v>
      </x:c>
      <x:c r="V2" t="n">
        <x:f>U3+1</x:f>
        <x:v>46250</x:v>
      </x:c>
      <x:c r="W2" t="n">
        <x:f>V3+1</x:f>
        <x:v>46257</x:v>
      </x:c>
      <x:c r="X2"/>
      <x:c r="Y2"/>
      <x:c r="Z2"/>
      <x:c r="AA2"/>
    </x:row>
    <x:row r="3" ht="15" hidden="0" customHeight="1">
      <x:c r="A3"/>
      <x:c r="B3"/>
      <x:c r="C3"/>
      <x:c r="D3"/>
      <x:c r="E3"/>
      <x:c r="F3"/>
      <x:c r="G3"/>
      <x:c r="H3">
        <x:v>46158</x:v>
      </x:c>
      <x:c r="I3" t="n">
        <x:f>I2+6</x:f>
        <x:v>46165</x:v>
      </x:c>
      <x:c r="J3">
        <x:v>46172</x:v>
      </x:c>
      <x:c r="K3">
        <x:v>46179</x:v>
      </x:c>
      <x:c r="L3">
        <x:v>46186</x:v>
      </x:c>
      <x:c r="M3">
        <x:v>46193</x:v>
      </x:c>
      <x:c r="N3">
        <x:v>46200</x:v>
      </x:c>
      <x:c r="O3">
        <x:v>46207</x:v>
      </x:c>
      <x:c r="P3">
        <x:v>46214</x:v>
      </x:c>
      <x:c r="Q3">
        <x:v>46221</x:v>
      </x:c>
      <x:c r="R3">
        <x:v>46228</x:v>
      </x:c>
      <x:c r="S3">
        <x:v>46235</x:v>
      </x:c>
      <x:c r="T3">
        <x:v>46242</x:v>
      </x:c>
      <x:c r="U3" t="n">
        <x:f>U2+6</x:f>
        <x:v>46249</x:v>
      </x:c>
      <x:c r="V3">
        <x:v>46256</x:v>
      </x:c>
      <x:c r="W3" t="n">
        <x:f>W2+6</x:f>
        <x:v>46263</x:v>
      </x:c>
      <x:c r="X3"/>
      <x:c r="Y3"/>
      <x:c r="Z3"/>
      <x:c r="AA3"/>
    </x:row>
    <x:row r="4" ht="15" hidden="0" customHeight="1">
      <x:c r="A4" t="s">
        <x:v>180</x:v>
      </x:c>
      <x:c r="B4" t="s">
        <x:v>180</x:v>
      </x:c>
      <x:c r="C4" t="s">
        <x:v>181</x:v>
      </x:c>
      <x:c r="D4" t="s">
        <x:v>182</x:v>
      </x:c>
      <x:c r="E4" t="s">
        <x:v>183</x:v>
      </x:c>
      <x:c r="F4" t="str" cm="1">
        <x:f t="array" ref="F4:AA4">Ops!E4:Z4</x:f>
        <x:v>3000</x:v>
      </x:c>
      <x:c r="G4" t="str">
        <x:v>0</x:v>
      </x:c>
      <x:c r="H4" t="str">
        <x:v>2000</x:v>
      </x:c>
      <x:c r="I4" t="str">
        <x:v>2000</x:v>
      </x:c>
      <x:c r="J4" t="str">
        <x:v>6080</x:v>
      </x:c>
      <x:c r="K4" t="str">
        <x:v>7028.64</x:v>
      </x:c>
      <x:c r="L4" t="str">
        <x:v>2948.64</x:v>
      </x:c>
      <x:c r="M4" t="str">
        <x:v>2948.64</x:v>
      </x:c>
      <x:c r="N4" t="str">
        <x:v>7094</x:v>
      </x:c>
      <x:c r="O4" t="str">
        <x:v>2948.64</x:v>
      </x:c>
      <x:c r="P4" t="str">
        <x:v>2948.64</x:v>
      </x:c>
      <x:c r="Q4" t="str">
        <x:v>2948.64</x:v>
      </x:c>
      <x:c r="R4" t="str">
        <x:v>2948.64</x:v>
      </x:c>
      <x:c r="S4" t="str">
        <x:v>2948.64</x:v>
      </x:c>
      <x:c r="T4" t="str">
        <x:v>2000</x:v>
      </x:c>
      <x:c r="U4" t="str">
        <x:v>2000</x:v>
      </x:c>
      <x:c r="V4" t="str">
        <x:v>2000</x:v>
      </x:c>
      <x:c r="W4" t="str">
        <x:v>2000</x:v>
      </x:c>
      <x:c r="X4" t="n">
        <x:v>0</x:v>
      </x:c>
      <x:c r="Y4" t="n">
        <x:v>0</x:v>
      </x:c>
      <x:c r="Z4" t="n">
        <x:v>0</x:v>
      </x:c>
      <x:c r="AA4" t="n">
        <x:v>0</x:v>
      </x:c>
    </x:row>
    <x:row r="5" ht="15" hidden="0" customHeight="1">
      <x:c r="A5"/>
      <x:c r="B5" t="s">
        <x:v>180</x:v>
      </x:c>
      <x:c r="C5" t="s">
        <x:v>184</x:v>
      </x:c>
      <x:c r="D5" t="s">
        <x:v>185</x:v>
      </x:c>
      <x:c r="E5" t="s">
        <x:v>186</x:v>
      </x:c>
      <x:c r="F5" t="e">
        <x:f>Ops!#REF!</x:f>
        <x:v>#REF!</x:v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</x:row>
    <x:row r="6" ht="15" hidden="0" customHeight="1">
      <x:c r="A6" t="s">
        <x:v>187</x:v>
      </x:c>
      <x:c r="B6" t="s">
        <x:v>180</x:v>
      </x:c>
      <x:c r="C6" t="s">
        <x:v>188</x:v>
      </x:c>
      <x:c r="D6" t="s">
        <x:v>189</x:v>
      </x:c>
      <x:c r="E6" t="s">
        <x:v>190</x:v>
      </x:c>
      <x:c r="F6" t="str" cm="1">
        <x:f t="array" ref="F6:AA6">Ops!E6:Z6</x:f>
        <x:v>750</x:v>
      </x:c>
      <x:c r="G6" t="str">
        <x:v>2000</x:v>
      </x:c>
      <x:c r="H6" t="str">
        <x:v>1060</x:v>
      </x:c>
      <x:c r="I6" t="str">
        <x:v>990</x:v>
      </x:c>
      <x:c r="J6" t="str">
        <x:v>1040</x:v>
      </x:c>
      <x:c r="K6" t="str">
        <x:v>1925</x:v>
      </x:c>
      <x:c r="L6" t="str">
        <x:v>3586</x:v>
      </x:c>
      <x:c r="M6" t="str">
        <x:v>3063</x:v>
      </x:c>
      <x:c r="N6" t="str">
        <x:v>2235</x:v>
      </x:c>
      <x:c r="O6" t="str">
        <x:v>950</x:v>
      </x:c>
      <x:c r="P6" t="str">
        <x:v>900</x:v>
      </x:c>
      <x:c r="Q6" t="str">
        <x:v>1160</x:v>
      </x:c>
      <x:c r="R6" t="str">
        <x:v>1078</x:v>
      </x:c>
      <x:c r="S6" t="str">
        <x:v>1344</x:v>
      </x:c>
      <x:c r="T6" t="str">
        <x:v>758</x:v>
      </x:c>
      <x:c r="U6" t="str">
        <x:v>900</x:v>
      </x:c>
      <x:c r="V6" t="str">
        <x:v>970</x:v>
      </x:c>
      <x:c r="W6" t="str">
        <x:v>862</x:v>
      </x:c>
      <x:c r="X6" t="n">
        <x:v>0</x:v>
      </x:c>
      <x:c r="Y6" t="n">
        <x:v>0</x:v>
      </x:c>
      <x:c r="Z6" t="n">
        <x:v>0</x:v>
      </x:c>
      <x:c r="AA6" t="n">
        <x:v>0</x:v>
      </x:c>
    </x:row>
    <x:row r="7" ht="15" hidden="0" customHeight="1">
      <x:c r="A7"/>
      <x:c r="B7" t="s">
        <x:v>191</x:v>
      </x:c>
      <x:c r="C7" t="s">
        <x:v>192</x:v>
      </x:c>
      <x:c r="D7" t="s">
        <x:v>193</x:v>
      </x:c>
      <x:c r="E7" t="s">
        <x:v>194</x:v>
      </x:c>
      <x:c r="F7" t="str" cm="1">
        <x:f t="array" ref="F7:Y7">Education!E4:X4</x:f>
        <x:v>0</x:v>
      </x:c>
      <x:c r="G7" t="str">
        <x:v>0.08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/>
      <x:c r="AA7"/>
    </x:row>
    <x:row r="8" ht="15" hidden="0" customHeight="1">
      <x:c r="A8" t="s">
        <x:v>195</x:v>
      </x:c>
      <x:c r="B8" t="s">
        <x:v>191</x:v>
      </x:c>
      <x:c r="C8" t="s">
        <x:v>196</x:v>
      </x:c>
      <x:c r="D8" t="s">
        <x:v>197</x:v>
      </x:c>
      <x:c r="E8" t="s">
        <x:v>198</x:v>
      </x:c>
      <x:c r="F8" t="str" cm="1">
        <x:f t="array" ref="F8:Y8">Education!E13:X13</x:f>
        <x:v>0%</x:v>
      </x:c>
      <x:c r="G8" t="str">
        <x:v>12%</x:v>
      </x:c>
      <x:c r="H8" t="n">
        <x:v>-0.28567996155694375</x:v>
      </x:c>
      <x:c r="I8" t="n">
        <x:v>-0.32226603029674206</x:v>
      </x:c>
      <x:c r="J8" t="str">
        <x:v>-0.4</x:v>
      </x:c>
      <x:c r="K8" t="str">
        <x:v>-0.22</x:v>
      </x:c>
      <x:c r="L8" t="str">
        <x:v>0.16</x:v>
      </x:c>
      <x:c r="M8" t="str">
        <x:v>0.23</x:v>
      </x:c>
      <x:c r="N8" t="str">
        <x:v>-0.59</x:v>
      </x:c>
      <x:c r="O8" t="str">
        <x:v>-0.18</x:v>
      </x:c>
      <x:c r="P8" t="str">
        <x:v>-0.41</x:v>
      </x:c>
      <x:c r="Q8" t="str">
        <x:v>-0.48</x:v>
      </x:c>
      <x:c r="R8" t="str">
        <x:v>-0.75</x:v>
      </x:c>
      <x:c r="S8" t="str">
        <x:v>-0.71</x:v>
      </x:c>
      <x:c r="T8" t="str">
        <x:v>-0.84</x:v>
      </x:c>
      <x:c r="U8" t="str">
        <x:v>-0.8</x:v>
      </x:c>
      <x:c r="V8" t="str">
        <x:v>-0.96</x:v>
      </x:c>
      <x:c r="W8" t="str">
        <x:v>-0.79</x:v>
      </x:c>
      <x:c r="X8" t="n">
        <x:v>0</x:v>
      </x:c>
      <x:c r="Y8" t="n">
        <x:v>0</x:v>
      </x:c>
      <x:c r="Z8"/>
      <x:c r="AA8"/>
    </x:row>
    <x:row r="9" ht="15" hidden="0" customHeight="1">
      <x:c r="A9" t="s">
        <x:v>199</x:v>
      </x:c>
      <x:c r="B9" t="s">
        <x:v>200</x:v>
      </x:c>
      <x:c r="C9" t="s">
        <x:v>201</x:v>
      </x:c>
      <x:c r="D9" t="s">
        <x:v>202</x:v>
      </x:c>
      <x:c r="E9" t="s">
        <x:v>203</x:v>
      </x:c>
      <x:c r="F9" t="str" cm="1">
        <x:f t="array" ref="F9:U9">'Public Engagement'!E24:T24</x:f>
        <x:v>10000</x:v>
      </x:c>
      <x:c r="G9" t="str">
        <x:v>18000</x:v>
      </x:c>
      <x:c r="H9" t="str">
        <x:v>16600</x:v>
      </x:c>
      <x:c r="I9" t="str">
        <x:v>9400</x:v>
      </x:c>
      <x:c r="J9" t="str">
        <x:v>15600</x:v>
      </x:c>
      <x:c r="K9" t="str">
        <x:v>10000</x:v>
      </x:c>
      <x:c r="L9" t="str">
        <x:v>11400</x:v>
      </x:c>
      <x:c r="M9" t="str">
        <x:v>9800</x:v>
      </x:c>
      <x:c r="N9" t="str">
        <x:v>16200</x:v>
      </x:c>
      <x:c r="O9" t="str">
        <x:v>11400</x:v>
      </x:c>
      <x:c r="P9" t="str">
        <x:v>7400</x:v>
      </x:c>
      <x:c r="Q9" t="str">
        <x:v>6500</x:v>
      </x:c>
      <x:c r="R9" t="str">
        <x:v>36900</x:v>
      </x:c>
      <x:c r="S9" t="str">
        <x:v>15900</x:v>
      </x:c>
      <x:c r="T9" t="str">
        <x:v>16700</x:v>
      </x:c>
      <x:c r="U9" t="str">
        <x:v>18800</x:v>
      </x:c>
      <x:c r="V9"/>
      <x:c r="W9"/>
      <x:c r="X9"/>
      <x:c r="Y9"/>
      <x:c r="Z9"/>
      <x:c r="AA9"/>
    </x:row>
    <x:row r="10" ht="15" hidden="0" customHeight="1">
      <x:c r="A10" t="s">
        <x:v>199</x:v>
      </x:c>
      <x:c r="B10" t="s">
        <x:v>200</x:v>
      </x:c>
      <x:c r="C10" t="s">
        <x:v>204</x:v>
      </x:c>
      <x:c r="D10" t="s">
        <x:v>205</x:v>
      </x:c>
      <x:c r="E10" t="s">
        <x:v>194</x:v>
      </x:c>
      <x:c r="F10" t="str" cm="1">
        <x:f t="array" ref="F10:U10">'Public Engagement'!E9:T9</x:f>
        <x:v>1000</x:v>
      </x:c>
      <x:c r="G10" t="str">
        <x:v>2000</x:v>
      </x:c>
      <x:c r="H10" t="str">
        <x:v>1508</x:v>
      </x:c>
      <x:c r="I10" t="str">
        <x:v>1779</x:v>
      </x:c>
      <x:c r="J10" t="str">
        <x:v>1050</x:v>
      </x:c>
      <x:c r="K10" t="str">
        <x:v>900</x:v>
      </x:c>
      <x:c r="L10" t="str">
        <x:v>1399</x:v>
      </x:c>
      <x:c r="M10" t="str">
        <x:v>1530</x:v>
      </x:c>
      <x:c r="N10" t="str">
        <x:v>1438</x:v>
      </x:c>
      <x:c r="O10" t="str">
        <x:v>1155</x:v>
      </x:c>
      <x:c r="P10" t="str">
        <x:v>1799</x:v>
      </x:c>
      <x:c r="Q10" t="str">
        <x:v>1955</x:v>
      </x:c>
      <x:c r="R10" t="str">
        <x:v>1459</x:v>
      </x:c>
      <x:c r="S10" t="str">
        <x:v>1758</x:v>
      </x:c>
      <x:c r="T10" t="str">
        <x:v>1737</x:v>
      </x:c>
      <x:c r="U10" t="str">
        <x:v>1850</x:v>
      </x:c>
      <x:c r="V10"/>
      <x:c r="W10"/>
      <x:c r="X10"/>
      <x:c r="Y10"/>
      <x:c r="Z10"/>
      <x:c r="AA10"/>
    </x:row>
    <x:row r="11" ht="15" hidden="0" customHeight="1">
      <x:c r="A11" t="s">
        <x:v>206</x:v>
      </x:c>
      <x:c r="B11" t="s">
        <x:v>200</x:v>
      </x:c>
      <x:c r="C11" t="s">
        <x:v>207</x:v>
      </x:c>
      <x:c r="D11" t="s">
        <x:v>208</x:v>
      </x:c>
      <x:c r="E11" t="s">
        <x:v>194</x:v>
      </x:c>
      <x:c r="F11" t="str" cm="1">
        <x:f t="array" ref="F11:U11">'Public Engagement'!E5:T5</x:f>
        <x:v>1700</x:v>
      </x:c>
      <x:c r="G11" t="str">
        <x:v>1800</x:v>
      </x:c>
      <x:c r="H11" t="str">
        <x:v>1722</x:v>
      </x:c>
      <x:c r="I11" t="str">
        <x:v>1750</x:v>
      </x:c>
      <x:c r="J11" t="str">
        <x:v>1665</x:v>
      </x:c>
      <x:c r="K11" t="str">
        <x:v>1696</x:v>
      </x:c>
      <x:c r="L11" t="str">
        <x:v>1732</x:v>
      </x:c>
      <x:c r="M11" t="str">
        <x:v>1761</x:v>
      </x:c>
      <x:c r="N11" t="str">
        <x:v>1794</x:v>
      </x:c>
      <x:c r="O11" t="str">
        <x:v>1755</x:v>
      </x:c>
      <x:c r="P11" t="str">
        <x:v>1758</x:v>
      </x:c>
      <x:c r="Q11" t="str">
        <x:v>1772</x:v>
      </x:c>
      <x:c r="R11" t="str">
        <x:v>1782</x:v>
      </x:c>
      <x:c r="S11" t="str">
        <x:v>1670</x:v>
      </x:c>
      <x:c r="T11" t="str">
        <x:v>1692</x:v>
      </x:c>
      <x:c r="U11" t="str">
        <x:v>1727</x:v>
      </x:c>
      <x:c r="V11"/>
      <x:c r="W11"/>
      <x:c r="X11"/>
      <x:c r="Y11"/>
      <x:c r="Z11"/>
      <x:c r="AA11"/>
    </x:row>
    <x:row r="12" ht="15" hidden="0" customHeight="1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</x:row>
    <x:row r="13" ht="15" hidden="0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</x:row>
    <x:row r="14" ht="15" hidden="0" customHeight="1">
      <x:c r="A14"/>
      <x:c r="B14" t="s">
        <x:v>209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25.75" hidden="0" customWidth="1"/>
    <x:col min="3" max="3" width="49.630001068115234" hidden="0" customWidth="1"/>
    <x:col min="4" max="4" width="13.380000114440918" hidden="0" customWidth="1"/>
    <x:col min="5" max="5" width="9.25" hidden="0" customWidth="1"/>
    <x:col min="6" max="6" width="5.25" hidden="0" customWidth="1"/>
    <x:col min="7" max="7" width="6.130000114440918" hidden="0" customWidth="1"/>
    <x:col min="8" max="8" width="6.130000114440918" hidden="0" customWidth="1"/>
    <x:col min="9" max="9" width="6.130000114440918" hidden="0" customWidth="1"/>
    <x:col min="10" max="10" width="6.630000114440918" hidden="0" customWidth="1"/>
    <x:col min="11" max="11" width="6.630000114440918" hidden="0" customWidth="1"/>
    <x:col min="12" max="12" width="6.630000114440918" hidden="0" customWidth="1"/>
    <x:col min="13" max="13" width="6.130000114440918" hidden="0" customWidth="1"/>
    <x:col min="14" max="14" width="6.630000114440918" hidden="0" customWidth="1"/>
    <x:col min="15" max="15" width="6.630000114440918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</x:cols>
  <x:sheetData>
    <x:row r="1" ht="15" hidden="0" customHeight="1">
      <x:c r="A1"/>
      <x:c r="B1"/>
      <x:c r="C1"/>
      <x:c r="D1"/>
      <x:c r="E1"/>
      <x:c r="F1"/>
      <x:c r="G1" t="s">
        <x:v>157</x:v>
      </x:c>
      <x:c r="H1" t="s">
        <x:v>158</x:v>
      </x:c>
      <x:c r="I1" t="s">
        <x:v>159</x:v>
      </x:c>
      <x:c r="J1" t="s">
        <x:v>160</x:v>
      </x:c>
      <x:c r="K1" t="s">
        <x:v>161</x:v>
      </x:c>
      <x:c r="L1" t="s">
        <x:v>162</x:v>
      </x:c>
      <x:c r="M1" t="s">
        <x:v>163</x:v>
      </x:c>
      <x:c r="N1" t="s">
        <x:v>164</x:v>
      </x:c>
      <x:c r="O1" t="s">
        <x:v>165</x:v>
      </x:c>
      <x:c r="P1" t="s">
        <x:v>166</x:v>
      </x:c>
      <x:c r="Q1" t="s">
        <x:v>167</x:v>
      </x:c>
      <x:c r="R1" t="s">
        <x:v>168</x:v>
      </x:c>
      <x:c r="S1" t="s">
        <x:v>169</x:v>
      </x:c>
      <x:c r="T1" t="s">
        <x:v>170</x:v>
      </x:c>
      <x:c r="U1" t="s">
        <x:v>171</x:v>
      </x:c>
      <x:c r="V1" t="s">
        <x:v>172</x:v>
      </x:c>
    </x:row>
    <x:row r="2" ht="15" hidden="0" customHeight="1">
      <x:c r="A2" t="s">
        <x:v>173</x:v>
      </x:c>
      <x:c r="B2" t="s">
        <x:v>175</x:v>
      </x:c>
      <x:c r="C2" t="s">
        <x:v>176</x:v>
      </x:c>
      <x:c r="D2" t="s">
        <x:v>177</x:v>
      </x:c>
      <x:c r="E2" t="s">
        <x:v>178</x:v>
      </x:c>
      <x:c r="F2" t="s">
        <x:v>179</x:v>
      </x:c>
      <x:c r="G2">
        <x:v>46152</x:v>
      </x:c>
      <x:c r="H2" t="n">
        <x:f>G3+1</x:f>
        <x:v>46159</x:v>
      </x:c>
      <x:c r="I2">
        <x:v>46166</x:v>
      </x:c>
      <x:c r="J2">
        <x:v>46173</x:v>
      </x:c>
      <x:c r="K2">
        <x:v>46180</x:v>
      </x:c>
      <x:c r="L2">
        <x:v>46187</x:v>
      </x:c>
      <x:c r="M2">
        <x:v>46194</x:v>
      </x:c>
      <x:c r="N2">
        <x:v>46201</x:v>
      </x:c>
      <x:c r="O2">
        <x:v>46208</x:v>
      </x:c>
      <x:c r="P2">
        <x:v>46215</x:v>
      </x:c>
      <x:c r="Q2">
        <x:v>46222</x:v>
      </x:c>
      <x:c r="R2">
        <x:v>46229</x:v>
      </x:c>
      <x:c r="S2">
        <x:v>46236</x:v>
      </x:c>
      <x:c r="T2">
        <x:v>46243</x:v>
      </x:c>
      <x:c r="U2" t="n">
        <x:f>T3+1</x:f>
        <x:v>46250</x:v>
      </x:c>
      <x:c r="V2" t="n">
        <x:f>U3+1</x:f>
        <x:v>46257</x:v>
      </x:c>
    </x:row>
    <x:row r="3" ht="15" hidden="0" customHeight="1">
      <x:c r="A3"/>
      <x:c r="B3"/>
      <x:c r="C3"/>
      <x:c r="D3"/>
      <x:c r="E3"/>
      <x:c r="F3"/>
      <x:c r="G3">
        <x:v>46158</x:v>
      </x:c>
      <x:c r="H3" t="n">
        <x:f>H2+6</x:f>
        <x:v>46165</x:v>
      </x:c>
      <x:c r="I3">
        <x:v>46172</x:v>
      </x:c>
      <x:c r="J3">
        <x:v>46179</x:v>
      </x:c>
      <x:c r="K3">
        <x:v>46186</x:v>
      </x:c>
      <x:c r="L3">
        <x:v>46193</x:v>
      </x:c>
      <x:c r="M3">
        <x:v>46200</x:v>
      </x:c>
      <x:c r="N3">
        <x:v>46207</x:v>
      </x:c>
      <x:c r="O3">
        <x:v>46214</x:v>
      </x:c>
      <x:c r="P3">
        <x:v>46221</x:v>
      </x:c>
      <x:c r="Q3">
        <x:v>46228</x:v>
      </x:c>
      <x:c r="R3">
        <x:v>46235</x:v>
      </x:c>
      <x:c r="S3">
        <x:v>46242</x:v>
      </x:c>
      <x:c r="T3" t="n">
        <x:f>T2+6</x:f>
        <x:v>46249</x:v>
      </x:c>
      <x:c r="U3" t="n">
        <x:f>U2+6</x:f>
        <x:v>46256</x:v>
      </x:c>
      <x:c r="V3">
        <x:v>46263</x:v>
      </x:c>
    </x:row>
    <x:row r="4" ht="15" hidden="0" customHeight="1">
      <x:c r="A4" t="s">
        <x:v>210</x:v>
      </x:c>
      <x:c r="B4" t="s">
        <x:v>181</x:v>
      </x:c>
      <x:c r="C4" t="s">
        <x:v>211</x:v>
      </x:c>
      <x:c r="D4" t="s">
        <x:v>183</x:v>
      </x:c>
      <x:c r="E4">
        <x:v>3000</x:v>
      </x:c>
      <x:c r="F4">
        <x:v>0</x:v>
      </x:c>
      <x:c r="G4">
        <x:v>2000</x:v>
      </x:c>
      <x:c r="H4">
        <x:v>2000</x:v>
      </x:c>
      <x:c r="I4">
        <x:v>6080</x:v>
      </x:c>
      <x:c r="J4">
        <x:v>7028.64</x:v>
      </x:c>
      <x:c r="K4">
        <x:v>2948.64</x:v>
      </x:c>
      <x:c r="L4">
        <x:v>2948.64</x:v>
      </x:c>
      <x:c r="M4">
        <x:v>7094</x:v>
      </x:c>
      <x:c r="N4">
        <x:v>2948.64</x:v>
      </x:c>
      <x:c r="O4">
        <x:v>2948.64</x:v>
      </x:c>
      <x:c r="P4">
        <x:v>2948.64</x:v>
      </x:c>
      <x:c r="Q4">
        <x:v>2948.64</x:v>
      </x:c>
      <x:c r="R4">
        <x:v>2948.64</x:v>
      </x:c>
      <x:c r="S4">
        <x:v>2000</x:v>
      </x:c>
      <x:c r="T4">
        <x:v>2000</x:v>
      </x:c>
      <x:c r="U4">
        <x:v>2000</x:v>
      </x:c>
      <x:c r="V4">
        <x:v>2000</x:v>
      </x:c>
    </x:row>
    <x:row r="5" ht="15" hidden="0" customHeight="1">
      <x:c r="A5" t="s">
        <x:v>187</x:v>
      </x:c>
      <x:c r="B5" t="s">
        <x:v>212</x:v>
      </x:c>
      <x:c r="C5" t="s">
        <x:v>213</x:v>
      </x:c>
      <x:c r="D5" t="s">
        <x:v>214</x:v>
      </x:c>
      <x:c r="E5">
        <x:v>10</x:v>
      </x:c>
      <x:c r="F5">
        <x:v>20</x:v>
      </x:c>
      <x:c r="G5">
        <x:v>12</x:v>
      </x:c>
      <x:c r="H5">
        <x:v>9</x:v>
      </x:c>
      <x:c r="I5">
        <x:v>10</x:v>
      </x:c>
      <x:c r="J5">
        <x:v>13</x:v>
      </x:c>
      <x:c r="K5">
        <x:v>16</x:v>
      </x:c>
      <x:c r="L5">
        <x:v>12</x:v>
      </x:c>
      <x:c r="M5">
        <x:v>11</x:v>
      </x:c>
      <x:c r="N5">
        <x:v>6</x:v>
      </x:c>
      <x:c r="O5">
        <x:v>5</x:v>
      </x:c>
      <x:c r="P5">
        <x:v>7</x:v>
      </x:c>
      <x:c r="Q5">
        <x:v>9</x:v>
      </x:c>
      <x:c r="R5">
        <x:v>8</x:v>
      </x:c>
      <x:c r="S5">
        <x:v>8</x:v>
      </x:c>
      <x:c r="T5">
        <x:v>9</x:v>
      </x:c>
      <x:c r="U5">
        <x:v>14</x:v>
      </x:c>
      <x:c r="V5">
        <x:v>10</x:v>
      </x:c>
    </x:row>
    <x:row r="6" ht="15" hidden="0" customHeight="1">
      <x:c r="A6" t="s">
        <x:v>187</x:v>
      </x:c>
      <x:c r="B6" t="s">
        <x:v>188</x:v>
      </x:c>
      <x:c r="C6" t="s">
        <x:v>189</x:v>
      </x:c>
      <x:c r="D6" t="s">
        <x:v>190</x:v>
      </x:c>
      <x:c r="E6">
        <x:v>750</x:v>
      </x:c>
      <x:c r="F6">
        <x:v>2000</x:v>
      </x:c>
      <x:c r="G6">
        <x:v>1060</x:v>
      </x:c>
      <x:c r="H6">
        <x:v>990</x:v>
      </x:c>
      <x:c r="I6">
        <x:v>1040</x:v>
      </x:c>
      <x:c r="J6">
        <x:v>1925</x:v>
      </x:c>
      <x:c r="K6">
        <x:v>3586</x:v>
      </x:c>
      <x:c r="L6">
        <x:v>3063</x:v>
      </x:c>
      <x:c r="M6">
        <x:v>2235</x:v>
      </x:c>
      <x:c r="N6">
        <x:v>950</x:v>
      </x:c>
      <x:c r="O6">
        <x:v>900</x:v>
      </x:c>
      <x:c r="P6">
        <x:v>1160</x:v>
      </x:c>
      <x:c r="Q6">
        <x:v>1078</x:v>
      </x:c>
      <x:c r="R6">
        <x:v>1344</x:v>
      </x:c>
      <x:c r="S6">
        <x:v>758</x:v>
      </x:c>
      <x:c r="T6">
        <x:v>900</x:v>
      </x:c>
      <x:c r="U6">
        <x:v>970</x:v>
      </x:c>
      <x:c r="V6">
        <x:v>862</x:v>
      </x:c>
    </x:row>
    <x:row r="7" ht="15" hidden="0" customHeight="1">
      <x:c r="A7" t="s">
        <x:v>187</x:v>
      </x:c>
      <x:c r="B7" t="s">
        <x:v>215</x:v>
      </x:c>
      <x:c r="C7" t="s">
        <x:v>216</x:v>
      </x:c>
      <x:c r="D7" t="s">
        <x:v>217</x:v>
      </x:c>
      <x:c r="E7">
        <x:v>3</x:v>
      </x:c>
      <x:c r="F7">
        <x:v>6</x:v>
      </x:c>
      <x:c r="G7">
        <x:v>1</x:v>
      </x:c>
      <x:c r="H7">
        <x:v>3</x:v>
      </x:c>
      <x:c r="I7">
        <x:v>2</x:v>
      </x:c>
      <x:c r="J7">
        <x:v>4</x:v>
      </x:c>
      <x:c r="K7">
        <x:v>3</x:v>
      </x:c>
      <x:c r="L7">
        <x:v>2</x:v>
      </x:c>
      <x:c r="M7">
        <x:v>2</x:v>
      </x:c>
      <x:c r="N7">
        <x:v>4</x:v>
      </x:c>
      <x:c r="O7">
        <x:v>3</x:v>
      </x:c>
      <x:c r="P7">
        <x:v>3</x:v>
      </x:c>
      <x:c r="Q7">
        <x:v>2</x:v>
      </x:c>
      <x:c r="R7">
        <x:v>0</x:v>
      </x:c>
      <x:c r="S7">
        <x:v>0</x:v>
      </x:c>
      <x:c r="T7">
        <x:v>0</x:v>
      </x:c>
      <x:c r="U7">
        <x:v>0</x:v>
      </x:c>
      <x:c r="V7">
        <x:v>1</x:v>
      </x:c>
    </x:row>
    <x:row r="8" ht="15" hidden="0" customHeight="1">
      <x:c r="A8" t="s">
        <x:v>218</x:v>
      </x:c>
      <x:c r="B8" t="s">
        <x:v>219</x:v>
      </x:c>
      <x:c r="C8" t="s">
        <x:v>220</x:v>
      </x:c>
      <x:c r="D8" t="s">
        <x:v>221</x:v>
      </x:c>
      <x:c r="E8">
        <x:v>6</x:v>
      </x:c>
      <x:c r="F8">
        <x:v>3</x:v>
      </x:c>
      <x:c r="G8">
        <x:v>5</x:v>
      </x:c>
      <x:c r="H8">
        <x:v>5</x:v>
      </x:c>
      <x:c r="I8">
        <x:v>5</x:v>
      </x:c>
      <x:c r="J8">
        <x:v>13</x:v>
      </x:c>
      <x:c r="K8">
        <x:v>12</x:v>
      </x:c>
      <x:c r="L8">
        <x:v>6</x:v>
      </x:c>
      <x:c r="M8">
        <x:v>1</x:v>
      </x:c>
      <x:c r="N8">
        <x:v>12</x:v>
      </x:c>
      <x:c r="O8">
        <x:v>3</x:v>
      </x:c>
      <x:c r="P8">
        <x:v>4</x:v>
      </x:c>
      <x:c r="Q8">
        <x:v>4</x:v>
      </x:c>
      <x:c r="R8">
        <x:v>5</x:v>
      </x:c>
      <x:c r="S8">
        <x:v>2</x:v>
      </x:c>
      <x:c r="T8">
        <x:v>6</x:v>
      </x:c>
      <x:c r="U8">
        <x:v>8</x:v>
      </x:c>
      <x:c r="V8">
        <x:v>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17" hidden="0" customWidth="1"/>
    <x:col min="3" max="3" width="62.25" hidden="0" customWidth="1"/>
    <x:col min="4" max="4" width="32.75" hidden="0" customWidth="1"/>
    <x:col min="5" max="5" width="9.25" hidden="0" customWidth="1"/>
    <x:col min="6" max="6" width="17.1299991607666" hidden="0" customWidth="1"/>
    <x:col min="7" max="7" width="10.880000114440918" hidden="0" customWidth="1"/>
    <x:col min="8" max="8" width="10" hidden="0" customWidth="1"/>
    <x:col min="9" max="9" width="6.130000114440918" hidden="0" customWidth="1"/>
    <x:col min="10" max="10" width="6.130000114440918" hidden="0" customWidth="1"/>
    <x:col min="11" max="11" width="6.130000114440918" hidden="0" customWidth="1"/>
    <x:col min="12" max="12" width="6.130000114440918" hidden="0" customWidth="1"/>
    <x:col min="13" max="13" width="6.130000114440918" hidden="0" customWidth="1"/>
    <x:col min="14" max="14" width="6.130000114440918" hidden="0" customWidth="1"/>
    <x:col min="15" max="15" width="6.130000114440918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</x:cols>
  <x:sheetData>
    <x:row r="1" ht="15" hidden="0" customHeight="1">
      <x:c r="A1"/>
      <x:c r="B1"/>
      <x:c r="C1"/>
      <x:c r="D1"/>
      <x:c r="E1"/>
      <x:c r="F1"/>
      <x:c r="G1" t="s">
        <x:v>157</x:v>
      </x:c>
      <x:c r="H1" t="s">
        <x:v>158</x:v>
      </x:c>
      <x:c r="I1" t="s">
        <x:v>159</x:v>
      </x:c>
      <x:c r="J1" t="s">
        <x:v>160</x:v>
      </x:c>
      <x:c r="K1" t="s">
        <x:v>161</x:v>
      </x:c>
      <x:c r="L1" t="s">
        <x:v>162</x:v>
      </x:c>
      <x:c r="M1" t="s">
        <x:v>163</x:v>
      </x:c>
      <x:c r="N1" t="s">
        <x:v>164</x:v>
      </x:c>
      <x:c r="O1" t="s">
        <x:v>165</x:v>
      </x:c>
      <x:c r="P1" t="s">
        <x:v>166</x:v>
      </x:c>
      <x:c r="Q1" t="s">
        <x:v>167</x:v>
      </x:c>
      <x:c r="R1" t="s">
        <x:v>168</x:v>
      </x:c>
      <x:c r="S1" t="s">
        <x:v>169</x:v>
      </x:c>
      <x:c r="T1" t="s">
        <x:v>170</x:v>
      </x:c>
      <x:c r="U1" t="s">
        <x:v>171</x:v>
      </x:c>
      <x:c r="V1" t="s">
        <x:v>172</x:v>
      </x:c>
    </x:row>
    <x:row r="2" ht="15" hidden="0" customHeight="1">
      <x:c r="A2" t="s">
        <x:v>173</x:v>
      </x:c>
      <x:c r="B2" t="s">
        <x:v>175</x:v>
      </x:c>
      <x:c r="C2" t="s">
        <x:v>176</x:v>
      </x:c>
      <x:c r="D2" t="s">
        <x:v>177</x:v>
      </x:c>
      <x:c r="E2" t="s">
        <x:v>178</x:v>
      </x:c>
      <x:c r="F2" t="s">
        <x:v>179</x:v>
      </x:c>
      <x:c r="G2">
        <x:v>46152</x:v>
      </x:c>
      <x:c r="H2" t="n">
        <x:f>G3+1</x:f>
        <x:v>46159</x:v>
      </x:c>
      <x:c r="I2" t="n">
        <x:f>H3+1</x:f>
        <x:v>46166</x:v>
      </x:c>
      <x:c r="J2">
        <x:v>46173</x:v>
      </x:c>
      <x:c r="K2">
        <x:v>46180</x:v>
      </x:c>
      <x:c r="L2">
        <x:v>46187</x:v>
      </x:c>
      <x:c r="M2">
        <x:v>46194</x:v>
      </x:c>
      <x:c r="N2">
        <x:v>46201</x:v>
      </x:c>
      <x:c r="O2">
        <x:v>46208</x:v>
      </x:c>
      <x:c r="P2">
        <x:v>46215</x:v>
      </x:c>
      <x:c r="Q2">
        <x:v>46222</x:v>
      </x:c>
      <x:c r="R2">
        <x:v>46229</x:v>
      </x:c>
      <x:c r="S2">
        <x:v>46236</x:v>
      </x:c>
      <x:c r="T2" t="n">
        <x:f>S3+1</x:f>
        <x:v>46243</x:v>
      </x:c>
      <x:c r="U2" t="n">
        <x:f>T3+1</x:f>
        <x:v>46250</x:v>
      </x:c>
      <x:c r="V2" t="n">
        <x:f>U3+1</x:f>
        <x:v>46257</x:v>
      </x:c>
    </x:row>
    <x:row r="3" ht="15" hidden="0" customHeight="1">
      <x:c r="A3"/>
      <x:c r="B3"/>
      <x:c r="C3"/>
      <x:c r="D3"/>
      <x:c r="E3"/>
      <x:c r="F3"/>
      <x:c r="G3">
        <x:v>46158</x:v>
      </x:c>
      <x:c r="H3" t="n">
        <x:f>H2+6</x:f>
        <x:v>46165</x:v>
      </x:c>
      <x:c r="I3">
        <x:v>46172</x:v>
      </x:c>
      <x:c r="J3">
        <x:v>46179</x:v>
      </x:c>
      <x:c r="K3">
        <x:v>46186</x:v>
      </x:c>
      <x:c r="L3">
        <x:v>46193</x:v>
      </x:c>
      <x:c r="M3">
        <x:v>46200</x:v>
      </x:c>
      <x:c r="N3">
        <x:v>46207</x:v>
      </x:c>
      <x:c r="O3">
        <x:v>46214</x:v>
      </x:c>
      <x:c r="P3">
        <x:v>46221</x:v>
      </x:c>
      <x:c r="Q3">
        <x:v>46228</x:v>
      </x:c>
      <x:c r="R3">
        <x:v>46235</x:v>
      </x:c>
      <x:c r="S3">
        <x:v>46242</x:v>
      </x:c>
      <x:c r="T3" t="n">
        <x:f>T2+6</x:f>
        <x:v>46249</x:v>
      </x:c>
      <x:c r="U3">
        <x:v>46256</x:v>
      </x:c>
      <x:c r="V3" t="n">
        <x:f>V2+6</x:f>
        <x:v>46263</x:v>
      </x:c>
    </x:row>
    <x:row r="4" ht="15" hidden="0" customHeight="1">
      <x:c r="A4" t="s">
        <x:v>222</x:v>
      </x:c>
      <x:c r="B4" t="s">
        <x:v>223</x:v>
      </x:c>
      <x:c r="C4" t="s">
        <x:v>224</x:v>
      </x:c>
      <x:c r="D4" t="s">
        <x:v>198</x:v>
      </x:c>
      <x:c r="E4">
        <x:v>0</x:v>
      </x:c>
      <x:c r="F4">
        <x:v>0.08</x:v>
      </x:c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</x:row>
    <x:row r="5" ht="15" hidden="0" customHeight="1">
      <x:c r="A5" t="s">
        <x:v>225</x:v>
      </x:c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</x:row>
    <x:row r="6" ht="15" hidden="0" customHeight="1">
      <x:c r="A6" t="s">
        <x:v>222</x:v>
      </x:c>
      <x:c r="B6" t="s">
        <x:v>226</x:v>
      </x:c>
      <x:c r="C6" t="s">
        <x:v>227</x:v>
      </x:c>
      <x:c r="D6" t="s">
        <x:v>190</x:v>
      </x:c>
      <x:c r="E6">
        <x:v>125</x:v>
      </x:c>
      <x:c r="F6">
        <x:v>300</x:v>
      </x:c>
      <x:c r="G6">
        <x:v>306</x:v>
      </x:c>
      <x:c r="H6">
        <x:v>386</x:v>
      </x:c>
      <x:c r="I6">
        <x:v>306</x:v>
      </x:c>
      <x:c r="J6">
        <x:v>331</x:v>
      </x:c>
      <x:c r="K6">
        <x:v>364</x:v>
      </x:c>
      <x:c r="L6">
        <x:v>336</x:v>
      </x:c>
      <x:c r="M6">
        <x:v>167</x:v>
      </x:c>
      <x:c r="N6">
        <x:v>107</x:v>
      </x:c>
      <x:c r="O6">
        <x:v>125</x:v>
      </x:c>
      <x:c r="P6">
        <x:v>96</x:v>
      </x:c>
      <x:c r="Q6">
        <x:v>99</x:v>
      </x:c>
      <x:c r="R6">
        <x:v>73</x:v>
      </x:c>
      <x:c r="S6">
        <x:v>34</x:v>
      </x:c>
      <x:c r="T6">
        <x:v>132</x:v>
      </x:c>
      <x:c r="U6">
        <x:v>98</x:v>
      </x:c>
      <x:c r="V6">
        <x:v>108</x:v>
      </x:c>
    </x:row>
    <x:row r="7" ht="15" hidden="0" customHeight="1">
      <x:c r="A7" t="s">
        <x:v>222</x:v>
      </x:c>
      <x:c r="B7" t="s">
        <x:v>223</x:v>
      </x:c>
      <x:c r="C7" t="s">
        <x:v>228</x:v>
      </x:c>
      <x:c r="D7" t="s">
        <x:v>229</x:v>
      </x:c>
      <x:c r="E7">
        <x:v>4</x:v>
      </x:c>
      <x:c r="F7">
        <x:v>8</x:v>
      </x:c>
      <x:c r="G7">
        <x:v>4</x:v>
      </x:c>
      <x:c r="H7">
        <x:v>3</x:v>
      </x:c>
      <x:c r="I7">
        <x:v>3</x:v>
      </x:c>
      <x:c r="J7">
        <x:v>3</x:v>
      </x:c>
      <x:c r="K7">
        <x:v>4</x:v>
      </x:c>
      <x:c r="L7">
        <x:v>3</x:v>
      </x:c>
      <x:c r="M7">
        <x:v>4</x:v>
      </x:c>
      <x:c r="N7">
        <x:v>4</x:v>
      </x:c>
      <x:c r="O7">
        <x:v>5</x:v>
      </x:c>
      <x:c r="P7">
        <x:v>4</x:v>
      </x:c>
      <x:c r="Q7">
        <x:v>4</x:v>
      </x:c>
      <x:c r="R7">
        <x:v>4</x:v>
      </x:c>
      <x:c r="S7">
        <x:v>5</x:v>
      </x:c>
      <x:c r="T7">
        <x:v>3</x:v>
      </x:c>
      <x:c r="U7">
        <x:v>4</x:v>
      </x:c>
      <x:c r="V7">
        <x:v>5</x:v>
      </x:c>
    </x:row>
    <x:row r="8" ht="15" hidden="0" customHeigh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</x:row>
    <x:row r="9" ht="15" hidden="0" customHeight="1">
      <x:c r="A9" t="s">
        <x:v>222</x:v>
      </x:c>
      <x:c r="B9" t="s">
        <x:v>230</x:v>
      </x:c>
      <x:c r="C9" t="s">
        <x:v>231</x:v>
      </x:c>
      <x:c r="D9" t="s">
        <x:v>221</x:v>
      </x:c>
      <x:c r="E9">
        <x:v>10</x:v>
      </x:c>
      <x:c r="F9">
        <x:v>6</x:v>
      </x:c>
      <x:c r="G9">
        <x:v>3</x:v>
      </x:c>
      <x:c r="H9">
        <x:v>0</x:v>
      </x:c>
      <x:c r="I9">
        <x:v>27</x:v>
      </x:c>
      <x:c r="J9">
        <x:v>16</x:v>
      </x:c>
      <x:c r="K9">
        <x:v>0</x:v>
      </x:c>
      <x:c r="L9">
        <x:v>5</x:v>
      </x:c>
      <x:c r="M9">
        <x:v>0</x:v>
      </x:c>
      <x:c r="N9"/>
      <x:c r="O9">
        <x:v>3</x:v>
      </x:c>
      <x:c r="P9">
        <x:v>1</x:v>
      </x:c>
      <x:c r="Q9">
        <x:v>1</x:v>
      </x:c>
      <x:c r="R9">
        <x:v>0</x:v>
      </x:c>
      <x:c r="S9">
        <x:v>1</x:v>
      </x:c>
      <x:c r="T9">
        <x:v>2</x:v>
      </x:c>
      <x:c r="U9">
        <x:v>1</x:v>
      </x:c>
      <x:c r="V9"/>
    </x:row>
    <x:row r="10" ht="15" hidden="0" customHeight="1">
      <x:c r="A10" t="s">
        <x:v>222</x:v>
      </x:c>
      <x:c r="B10" t="s">
        <x:v>232</x:v>
      </x:c>
      <x:c r="C10" t="s">
        <x:v>233</x:v>
      </x:c>
      <x:c r="D10" t="s">
        <x:v>221</x:v>
      </x:c>
      <x:c r="E10" t="s">
        <x:v>234</x:v>
      </x:c>
      <x:c r="F10" t="s">
        <x:v>235</x:v>
      </x:c>
      <x:c r="G10">
        <x:v>0</x:v>
      </x:c>
      <x:c r="H10">
        <x:v>8</x:v>
      </x:c>
      <x:c r="I10">
        <x:v>19</x:v>
      </x:c>
      <x:c r="J10">
        <x:v>7</x:v>
      </x:c>
      <x:c r="K10">
        <x:v>7</x:v>
      </x:c>
      <x:c r="L10">
        <x:v>1</x:v>
      </x:c>
      <x:c r="M10">
        <x:v>1</x:v>
      </x:c>
      <x:c r="N10"/>
      <x:c r="O10">
        <x:v>3</x:v>
      </x:c>
      <x:c r="P10">
        <x:v>4</x:v>
      </x:c>
      <x:c r="Q10">
        <x:v>2</x:v>
      </x:c>
      <x:c r="R10">
        <x:v>2</x:v>
      </x:c>
      <x:c r="S10">
        <x:v>3</x:v>
      </x:c>
      <x:c r="T10">
        <x:v>3</x:v>
      </x:c>
      <x:c r="U10">
        <x:v>4</x:v>
      </x:c>
      <x:c r="V10"/>
    </x:row>
    <x:row r="11" ht="15" hidden="0" customHeight="1">
      <x:c r="A11" t="s">
        <x:v>236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</x:row>
    <x:row r="12" ht="15" hidden="0" customHeight="1">
      <x:c r="A12" t="s">
        <x:v>222</x:v>
      </x:c>
      <x:c r="B12" t="s">
        <x:v>237</x:v>
      </x:c>
      <x:c r="C12" t="s">
        <x:v>238</x:v>
      </x:c>
      <x:c r="D12" t="s">
        <x:v>239</x:v>
      </x:c>
      <x:c r="E12">
        <x:v>0.75</x:v>
      </x:c>
      <x:c r="F12">
        <x:v>1</x:v>
      </x:c>
      <x:c r="G12"/>
      <x:c r="H12">
        <x:v>1</x:v>
      </x:c>
      <x:c r="I12">
        <x:v>1</x:v>
      </x:c>
      <x:c r="J12">
        <x:v>1</x:v>
      </x:c>
      <x:c r="K12">
        <x:v>0.85</x:v>
      </x:c>
      <x:c r="L12">
        <x:v>0.95</x:v>
      </x:c>
      <x:c r="M12">
        <x:v>1</x:v>
      </x:c>
      <x:c r="N12">
        <x:v>1</x:v>
      </x:c>
      <x:c r="O12">
        <x:v>1</x:v>
      </x:c>
      <x:c r="P12">
        <x:v>1</x:v>
      </x:c>
      <x:c r="Q12">
        <x:v>1</x:v>
      </x:c>
      <x:c r="R12">
        <x:v>1</x:v>
      </x:c>
      <x:c r="S12">
        <x:v>1</x:v>
      </x:c>
      <x:c r="T12">
        <x:v>1</x:v>
      </x:c>
      <x:c r="U12"/>
      <x:c r="V12"/>
    </x:row>
    <x:row r="13" ht="15" hidden="0" customHeight="1">
      <x:c r="A13" t="s">
        <x:v>240</x:v>
      </x:c>
      <x:c r="B13" t="s">
        <x:v>241</x:v>
      </x:c>
      <x:c r="C13" t="s">
        <x:v>242</x:v>
      </x:c>
      <x:c r="D13" t="s">
        <x:v>239</x:v>
      </x:c>
      <x:c r="E13" t="s">
        <x:v>243</x:v>
      </x:c>
      <x:c r="F13" t="s">
        <x:v>244</x:v>
      </x:c>
      <x:c r="G13" t="n">
        <x:f>((G14-G18)/G18)</x:f>
        <x:v>-0.28567996155694375</x:v>
      </x:c>
      <x:c r="H13" t="n">
        <x:f>((H14-H18)/H18)</x:f>
        <x:v>-0.32226603029674206</x:v>
      </x:c>
      <x:c r="I13">
        <x:v>-0.4</x:v>
      </x:c>
      <x:c r="J13">
        <x:v>-0.22</x:v>
      </x:c>
      <x:c r="K13">
        <x:v>0.16</x:v>
      </x:c>
      <x:c r="L13">
        <x:v>0.23</x:v>
      </x:c>
      <x:c r="M13">
        <x:v>-0.59</x:v>
      </x:c>
      <x:c r="N13">
        <x:v>-0.18</x:v>
      </x:c>
      <x:c r="O13">
        <x:v>-0.41</x:v>
      </x:c>
      <x:c r="P13">
        <x:v>-0.48</x:v>
      </x:c>
      <x:c r="Q13">
        <x:v>-0.75</x:v>
      </x:c>
      <x:c r="R13">
        <x:v>-0.71</x:v>
      </x:c>
      <x:c r="S13">
        <x:v>-0.84</x:v>
      </x:c>
      <x:c r="T13">
        <x:v>-0.8</x:v>
      </x:c>
      <x:c r="U13">
        <x:v>-0.96</x:v>
      </x:c>
      <x:c r="V13">
        <x:v>-0.79</x:v>
      </x:c>
    </x:row>
    <x:row r="14" ht="15" hidden="0" customHeight="1">
      <x:c r="A14" t="s">
        <x:v>240</x:v>
      </x:c>
      <x:c r="B14" t="s">
        <x:v>241</x:v>
      </x:c>
      <x:c r="C14" t="s">
        <x:v>245</x:v>
      </x:c>
      <x:c r="D14" t="s">
        <x:v>198</x:v>
      </x:c>
      <x:c r="E14" t="s">
        <x:v>246</x:v>
      </x:c>
      <x:c r="F14" t="s">
        <x:v>247</x:v>
      </x:c>
      <x:c r="G14">
        <x:v>2973</x:v>
      </x:c>
      <x:c r="H14">
        <x:v>3266</x:v>
      </x:c>
      <x:c r="I14">
        <x:v>2496</x:v>
      </x:c>
      <x:c r="J14">
        <x:v>2267</x:v>
      </x:c>
      <x:c r="K14">
        <x:v>1914</x:v>
      </x:c>
      <x:c r="L14">
        <x:v>2014</x:v>
      </x:c>
      <x:c r="M14">
        <x:v>1114</x:v>
      </x:c>
      <x:c r="N14">
        <x:v>1110</x:v>
      </x:c>
      <x:c r="O14">
        <x:v>633</x:v>
      </x:c>
      <x:c r="P14">
        <x:v>720</x:v>
      </x:c>
      <x:c r="Q14">
        <x:v>399</x:v>
      </x:c>
      <x:c r="R14">
        <x:v>591</x:v>
      </x:c>
      <x:c r="S14">
        <x:v>356</x:v>
      </x:c>
      <x:c r="T14">
        <x:v>334</x:v>
      </x:c>
      <x:c r="U14">
        <x:v>70</x:v>
      </x:c>
      <x:c r="V14">
        <x:v>181</x:v>
      </x:c>
    </x:row>
    <x:row r="15" ht="15" hidden="0" customHeight="1">
      <x:c r="A15" t="s">
        <x:v>206</x:v>
      </x:c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</x:row>
    <x:row r="16" ht="15" hidden="0" customHeight="1">
      <x:c r="A16" t="s">
        <x:v>240</x:v>
      </x:c>
      <x:c r="B16" t="s">
        <x:v>248</x:v>
      </x:c>
      <x:c r="C16" t="s">
        <x:v>249</x:v>
      </x:c>
      <x:c r="D16" t="s">
        <x:v>250</x:v>
      </x:c>
      <x:c r="E16" t="s">
        <x:v>251</x:v>
      </x:c>
      <x:c r="F16" t="s">
        <x:v>252</x:v>
      </x:c>
      <x:c r="G16">
        <x:v>4</x:v>
      </x:c>
      <x:c r="H16">
        <x:v>2</x:v>
      </x:c>
      <x:c r="I16">
        <x:v>0</x:v>
      </x:c>
      <x:c r="J16">
        <x:v>1</x:v>
      </x:c>
      <x:c r="K16">
        <x:v>1</x:v>
      </x:c>
      <x:c r="L16">
        <x:v>1</x:v>
      </x:c>
      <x:c r="M16">
        <x:v>0</x:v>
      </x:c>
      <x:c r="N16">
        <x:v>3</x:v>
      </x:c>
      <x:c r="O16">
        <x:v>0</x:v>
      </x:c>
      <x:c r="P16">
        <x:v>1</x:v>
      </x:c>
      <x:c r="Q16">
        <x:v>2</x:v>
      </x:c>
      <x:c r="R16">
        <x:v>0</x:v>
      </x:c>
      <x:c r="S16">
        <x:v>1</x:v>
      </x:c>
      <x:c r="T16">
        <x:v>0</x:v>
      </x:c>
      <x:c r="U16">
        <x:v>0</x:v>
      </x:c>
      <x:c r="V16">
        <x:v>1</x:v>
      </x:c>
    </x:row>
    <x:row r="17" ht="15" hidden="0" customHeight="1">
      <x:c r="A17" t="s">
        <x:v>240</x:v>
      </x:c>
      <x:c r="B17" t="s">
        <x:v>253</x:v>
      </x:c>
      <x:c r="C17" t="s">
        <x:v>254</x:v>
      </x:c>
      <x:c r="D17"/>
      <x:c r="E17" t="s">
        <x:v>255</x:v>
      </x:c>
      <x:c r="F17" t="s">
        <x:v>256</x:v>
      </x:c>
      <x:c r="G17">
        <x:v>0</x:v>
      </x:c>
      <x:c r="H17">
        <x:v>0</x:v>
      </x:c>
      <x:c r="I17">
        <x:v>0</x:v>
      </x:c>
      <x:c r="J17">
        <x:v>1</x:v>
      </x:c>
      <x:c r="K17">
        <x:v>0</x:v>
      </x:c>
      <x:c r="L17">
        <x:v>0</x:v>
      </x:c>
      <x:c r="M17">
        <x:v>0</x:v>
      </x:c>
      <x:c r="N17">
        <x:v>1</x:v>
      </x:c>
      <x:c r="O17">
        <x:v>0</x:v>
      </x:c>
      <x:c r="P17">
        <x:v>2</x:v>
      </x:c>
      <x:c r="Q17">
        <x:v>2</x:v>
      </x:c>
      <x:c r="R17">
        <x:v>0</x:v>
      </x:c>
      <x:c r="S17">
        <x:v>0</x:v>
      </x:c>
      <x:c r="T17">
        <x:v>0</x:v>
      </x:c>
      <x:c r="U17">
        <x:v>0</x:v>
      </x:c>
      <x:c r="V17">
        <x:v>1</x:v>
      </x:c>
    </x:row>
    <x:row r="18" ht="15" hidden="0" customHeight="1">
      <x:c r="A18"/>
      <x:c r="B18"/>
      <x:c r="C18" t="s">
        <x:v>257</x:v>
      </x:c>
      <x:c r="D18"/>
      <x:c r="E18"/>
      <x:c r="F18" t="s">
        <x:v>258</x:v>
      </x:c>
      <x:c r="G18">
        <x:v>4162</x:v>
      </x:c>
      <x:c r="H18">
        <x:v>4819</x:v>
      </x:c>
      <x:c r="I18">
        <x:v>4162</x:v>
      </x:c>
      <x:c r="J18">
        <x:v>2925</x:v>
      </x:c>
      <x:c r="K18">
        <x:v>1418</x:v>
      </x:c>
      <x:c r="L18">
        <x:v>1552</x:v>
      </x:c>
      <x:c r="M18">
        <x:v>1860</x:v>
      </x:c>
      <x:c r="N18">
        <x:v>1339</x:v>
      </x:c>
      <x:c r="O18">
        <x:v>1103</x:v>
      </x:c>
      <x:c r="P18">
        <x:v>1145</x:v>
      </x:c>
      <x:c r="Q18">
        <x:v>1622</x:v>
      </x:c>
      <x:c r="R18">
        <x:v>1889</x:v>
      </x:c>
      <x:c r="S18">
        <x:v>2171</x:v>
      </x:c>
      <x:c r="T18">
        <x:v>1649</x:v>
      </x:c>
      <x:c r="U18">
        <x:v>1191</x:v>
      </x:c>
      <x:c r="V18">
        <x:v>867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25.6299991607666" hidden="0" customWidth="1"/>
    <x:col min="3" max="3" width="43.5" hidden="0" customWidth="1"/>
    <x:col min="4" max="4" width="15.880000114440918" hidden="0" customWidth="1"/>
    <x:col min="5" max="5" width="10.25" hidden="0" customWidth="1"/>
    <x:col min="6" max="6" width="10.25" hidden="0" customWidth="1"/>
    <x:col min="7" max="7" width="10.25" hidden="0" customWidth="1"/>
    <x:col min="8" max="8" width="6.630000114440918" hidden="0" customWidth="1"/>
    <x:col min="9" max="9" width="10.25" hidden="0" customWidth="1"/>
    <x:col min="10" max="10" width="10.25" hidden="0" customWidth="1"/>
    <x:col min="11" max="11" width="6.130000114440918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  <x:col min="19" max="19" width="10.25" hidden="0" customWidth="1"/>
    <x:col min="20" max="20" width="10.25" hidden="0" customWidth="1"/>
    <x:col min="21" max="21" width="10.25" hidden="0" customWidth="1"/>
    <x:col min="22" max="22" width="10.25" hidden="0" customWidth="1"/>
  </x:cols>
  <x:sheetData>
    <x:row r="1" ht="15" hidden="0" customHeight="1">
      <x:c r="A1"/>
      <x:c r="B1"/>
      <x:c r="C1"/>
      <x:c r="D1"/>
      <x:c r="E1"/>
      <x:c r="F1"/>
      <x:c r="G1" t="s">
        <x:v>157</x:v>
      </x:c>
      <x:c r="H1" t="s">
        <x:v>158</x:v>
      </x:c>
      <x:c r="I1" t="s">
        <x:v>159</x:v>
      </x:c>
      <x:c r="J1" t="s">
        <x:v>160</x:v>
      </x:c>
      <x:c r="K1" t="s">
        <x:v>161</x:v>
      </x:c>
      <x:c r="L1" t="s">
        <x:v>162</x:v>
      </x:c>
      <x:c r="M1" t="s">
        <x:v>163</x:v>
      </x:c>
      <x:c r="N1" t="s">
        <x:v>164</x:v>
      </x:c>
      <x:c r="O1" t="s">
        <x:v>165</x:v>
      </x:c>
      <x:c r="P1" t="s">
        <x:v>166</x:v>
      </x:c>
      <x:c r="Q1" t="s">
        <x:v>167</x:v>
      </x:c>
      <x:c r="R1" t="s">
        <x:v>168</x:v>
      </x:c>
      <x:c r="S1" t="s">
        <x:v>169</x:v>
      </x:c>
      <x:c r="T1" t="s">
        <x:v>170</x:v>
      </x:c>
      <x:c r="U1" t="s">
        <x:v>171</x:v>
      </x:c>
      <x:c r="V1" t="s">
        <x:v>172</x:v>
      </x:c>
    </x:row>
    <x:row r="2" ht="15" hidden="0" customHeight="1">
      <x:c r="A2" t="s">
        <x:v>173</x:v>
      </x:c>
      <x:c r="B2" t="s">
        <x:v>175</x:v>
      </x:c>
      <x:c r="C2" t="s">
        <x:v>176</x:v>
      </x:c>
      <x:c r="D2" t="s">
        <x:v>177</x:v>
      </x:c>
      <x:c r="E2" t="s">
        <x:v>178</x:v>
      </x:c>
      <x:c r="F2" t="s">
        <x:v>179</x:v>
      </x:c>
      <x:c r="G2">
        <x:v>46152</x:v>
      </x:c>
      <x:c r="H2" t="n">
        <x:f>G3+1</x:f>
        <x:v>46159</x:v>
      </x:c>
      <x:c r="I2">
        <x:v>46166</x:v>
      </x:c>
      <x:c r="J2">
        <x:v>46173</x:v>
      </x:c>
      <x:c r="K2">
        <x:v>46180</x:v>
      </x:c>
      <x:c r="L2">
        <x:v>46187</x:v>
      </x:c>
      <x:c r="M2">
        <x:v>46194</x:v>
      </x:c>
      <x:c r="N2">
        <x:v>46201</x:v>
      </x:c>
      <x:c r="O2">
        <x:v>46208</x:v>
      </x:c>
      <x:c r="P2">
        <x:v>46215</x:v>
      </x:c>
      <x:c r="Q2">
        <x:v>46222</x:v>
      </x:c>
      <x:c r="R2">
        <x:v>46229</x:v>
      </x:c>
      <x:c r="S2">
        <x:v>46236</x:v>
      </x:c>
      <x:c r="T2">
        <x:v>46243</x:v>
      </x:c>
      <x:c r="U2">
        <x:v>46250</x:v>
      </x:c>
      <x:c r="V2" t="n">
        <x:f>U3+1</x:f>
        <x:v>46257</x:v>
      </x:c>
    </x:row>
    <x:row r="3" ht="15" hidden="0" customHeight="1">
      <x:c r="A3"/>
      <x:c r="B3"/>
      <x:c r="C3"/>
      <x:c r="D3"/>
      <x:c r="E3"/>
      <x:c r="F3"/>
      <x:c r="G3">
        <x:v>46158</x:v>
      </x:c>
      <x:c r="H3" t="n">
        <x:f>H2+6</x:f>
        <x:v>46165</x:v>
      </x:c>
      <x:c r="I3">
        <x:v>46172</x:v>
      </x:c>
      <x:c r="J3">
        <x:v>46179</x:v>
      </x:c>
      <x:c r="K3">
        <x:v>46186</x:v>
      </x:c>
      <x:c r="L3">
        <x:v>46193</x:v>
      </x:c>
      <x:c r="M3">
        <x:v>46200</x:v>
      </x:c>
      <x:c r="N3">
        <x:v>46207</x:v>
      </x:c>
      <x:c r="O3">
        <x:v>46214</x:v>
      </x:c>
      <x:c r="P3">
        <x:v>46221</x:v>
      </x:c>
      <x:c r="Q3">
        <x:v>46228</x:v>
      </x:c>
      <x:c r="R3">
        <x:v>46235</x:v>
      </x:c>
      <x:c r="S3">
        <x:v>46242</x:v>
      </x:c>
      <x:c r="T3" t="n">
        <x:f>T2+6</x:f>
        <x:v>46249</x:v>
      </x:c>
      <x:c r="U3">
        <x:v>46256</x:v>
      </x:c>
      <x:c r="V3" t="n">
        <x:f>V2+6</x:f>
        <x:v>46263</x:v>
      </x:c>
    </x:row>
    <x:row r="4" ht="15" hidden="0" customHeight="1">
      <x:c r="A4" t="s">
        <x:v>259</x:v>
      </x:c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</x:row>
    <x:row r="5" ht="15" hidden="0" customHeight="1">
      <x:c r="A5" t="s">
        <x:v>260</x:v>
      </x:c>
      <x:c r="B5" t="s">
        <x:v>261</x:v>
      </x:c>
      <x:c r="C5" t="s">
        <x:v>262</x:v>
      </x:c>
      <x:c r="D5" t="s">
        <x:v>190</x:v>
      </x:c>
      <x:c r="E5">
        <x:v>1700</x:v>
      </x:c>
      <x:c r="F5">
        <x:v>1800</x:v>
      </x:c>
      <x:c r="G5">
        <x:v>1722</x:v>
      </x:c>
      <x:c r="H5">
        <x:v>1750</x:v>
      </x:c>
      <x:c r="I5">
        <x:v>1665</x:v>
      </x:c>
      <x:c r="J5">
        <x:v>1696</x:v>
      </x:c>
      <x:c r="K5">
        <x:v>1732</x:v>
      </x:c>
      <x:c r="L5">
        <x:v>1761</x:v>
      </x:c>
      <x:c r="M5">
        <x:v>1794</x:v>
      </x:c>
      <x:c r="N5">
        <x:v>1755</x:v>
      </x:c>
      <x:c r="O5">
        <x:v>1758</x:v>
      </x:c>
      <x:c r="P5">
        <x:v>1772</x:v>
      </x:c>
      <x:c r="Q5">
        <x:v>1782</x:v>
      </x:c>
      <x:c r="R5">
        <x:v>1670</x:v>
      </x:c>
      <x:c r="S5">
        <x:v>1692</x:v>
      </x:c>
      <x:c r="T5">
        <x:v>1727</x:v>
      </x:c>
      <x:c r="U5">
        <x:v>1745</x:v>
      </x:c>
      <x:c r="V5">
        <x:v>1763</x:v>
      </x:c>
    </x:row>
    <x:row r="6" ht="15" hidden="0" customHeight="1">
      <x:c r="A6" t="s">
        <x:v>260</x:v>
      </x:c>
      <x:c r="B6" t="s">
        <x:v>263</x:v>
      </x:c>
      <x:c r="C6" t="s">
        <x:v>264</x:v>
      </x:c>
      <x:c r="D6" t="s">
        <x:v>190</x:v>
      </x:c>
      <x:c r="E6">
        <x:v>20</x:v>
      </x:c>
      <x:c r="F6">
        <x:v>45</x:v>
      </x:c>
      <x:c r="G6">
        <x:v>32</x:v>
      </x:c>
      <x:c r="H6">
        <x:v>44</x:v>
      </x:c>
      <x:c r="I6">
        <x:v>33</x:v>
      </x:c>
      <x:c r="J6">
        <x:v>35</x:v>
      </x:c>
      <x:c r="K6">
        <x:v>45</x:v>
      </x:c>
      <x:c r="L6">
        <x:v>39</x:v>
      </x:c>
      <x:c r="M6">
        <x:v>35</x:v>
      </x:c>
      <x:c r="N6">
        <x:v>62</x:v>
      </x:c>
      <x:c r="O6">
        <x:v>16</x:v>
      </x:c>
      <x:c r="P6">
        <x:v>56</x:v>
      </x:c>
      <x:c r="Q6">
        <x:v>26</x:v>
      </x:c>
      <x:c r="R6">
        <x:v>32</x:v>
      </x:c>
      <x:c r="S6">
        <x:v>23</x:v>
      </x:c>
      <x:c r="T6">
        <x:v>36</x:v>
      </x:c>
      <x:c r="U6">
        <x:v>26</x:v>
      </x:c>
      <x:c r="V6">
        <x:v>19</x:v>
      </x:c>
    </x:row>
    <x:row r="7" ht="15" hidden="0" customHeight="1">
      <x:c r="A7" t="s">
        <x:v>260</x:v>
      </x:c>
      <x:c r="B7" t="s">
        <x:v>265</x:v>
      </x:c>
      <x:c r="C7" t="s">
        <x:v>266</x:v>
      </x:c>
      <x:c r="D7" t="s">
        <x:v>190</x:v>
      </x:c>
      <x:c r="E7">
        <x:v>0.3</x:v>
      </x:c>
      <x:c r="F7">
        <x:v>0.35</x:v>
      </x:c>
      <x:c r="G7">
        <x:v>0.36</x:v>
      </x:c>
      <x:c r="H7">
        <x:v>0.36</x:v>
      </x:c>
      <x:c r="I7">
        <x:v>0.33</x:v>
      </x:c>
      <x:c r="J7">
        <x:v>0.34</x:v>
      </x:c>
      <x:c r="K7">
        <x:v>0.37</x:v>
      </x:c>
      <x:c r="L7">
        <x:v>0.38</x:v>
      </x:c>
      <x:c r="M7">
        <x:v>0.43</x:v>
      </x:c>
      <x:c r="N7">
        <x:v>0.41</x:v>
      </x:c>
      <x:c r="O7">
        <x:v>0.41</x:v>
      </x:c>
      <x:c r="P7">
        <x:v>0.41</x:v>
      </x:c>
      <x:c r="Q7">
        <x:v>0.41</x:v>
      </x:c>
      <x:c r="R7">
        <x:v>0.32</x:v>
      </x:c>
      <x:c r="S7">
        <x:v>0.32990000000000003</x:v>
      </x:c>
      <x:c r="T7">
        <x:v>0.35039999999999999</x:v>
      </x:c>
      <x:c r="U7">
        <x:v>0.36</x:v>
      </x:c>
      <x:c r="V7">
        <x:v>0.49</x:v>
      </x:c>
    </x:row>
    <x:row r="8" ht="15" hidden="0" customHeight="1">
      <x:c r="A8" t="s">
        <x:v>267</x:v>
      </x:c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</x:row>
    <x:row r="9" ht="15" hidden="0" customHeight="1">
      <x:c r="A9" t="s">
        <x:v>260</x:v>
      </x:c>
      <x:c r="B9" t="s">
        <x:v>204</x:v>
      </x:c>
      <x:c r="C9" t="s">
        <x:v>205</x:v>
      </x:c>
      <x:c r="D9" t="s">
        <x:v>190</x:v>
      </x:c>
      <x:c r="E9">
        <x:v>1000</x:v>
      </x:c>
      <x:c r="F9">
        <x:v>2000</x:v>
      </x:c>
      <x:c r="G9">
        <x:v>1508</x:v>
      </x:c>
      <x:c r="H9">
        <x:v>1779</x:v>
      </x:c>
      <x:c r="I9">
        <x:v>1050</x:v>
      </x:c>
      <x:c r="J9">
        <x:v>900</x:v>
      </x:c>
      <x:c r="K9">
        <x:v>1399</x:v>
      </x:c>
      <x:c r="L9">
        <x:v>1530</x:v>
      </x:c>
      <x:c r="M9">
        <x:v>1438</x:v>
      </x:c>
      <x:c r="N9">
        <x:v>1155</x:v>
      </x:c>
      <x:c r="O9">
        <x:v>1799</x:v>
      </x:c>
      <x:c r="P9">
        <x:v>1955</x:v>
      </x:c>
      <x:c r="Q9">
        <x:v>1459</x:v>
      </x:c>
      <x:c r="R9">
        <x:v>1758</x:v>
      </x:c>
      <x:c r="S9">
        <x:v>1737</x:v>
      </x:c>
      <x:c r="T9">
        <x:v>1850</x:v>
      </x:c>
      <x:c r="U9">
        <x:v>1082</x:v>
      </x:c>
      <x:c r="V9">
        <x:v>722</x:v>
      </x:c>
    </x:row>
    <x:row r="10" ht="15" hidden="0" customHeight="1">
      <x:c r="A10" t="s">
        <x:v>268</x:v>
      </x:c>
      <x:c r="B10" t="s">
        <x:v>269</x:v>
      </x:c>
      <x:c r="C10" t="s">
        <x:v>270</x:v>
      </x:c>
      <x:c r="D10" t="s">
        <x:v>190</x:v>
      </x:c>
      <x:c r="E10">
        <x:v>50</x:v>
      </x:c>
      <x:c r="F10">
        <x:v>250</x:v>
      </x:c>
      <x:c r="G10">
        <x:v>856</x:v>
      </x:c>
      <x:c r="H10">
        <x:v>472</x:v>
      </x:c>
      <x:c r="I10">
        <x:v>0</x:v>
      </x:c>
      <x:c r="J10">
        <x:v>83</x:v>
      </x:c>
      <x:c r="K10">
        <x:v>137</x:v>
      </x:c>
      <x:c r="L10">
        <x:v>136</x:v>
      </x:c>
      <x:c r="M10">
        <x:v>69</x:v>
      </x:c>
      <x:c r="N10">
        <x:v>30</x:v>
      </x:c>
      <x:c r="O10">
        <x:v>336</x:v>
      </x:c>
      <x:c r="P10">
        <x:v>207</x:v>
      </x:c>
      <x:c r="Q10">
        <x:v>233</x:v>
      </x:c>
      <x:c r="R10">
        <x:v>85</x:v>
      </x:c>
      <x:c r="S10">
        <x:v>194</x:v>
      </x:c>
      <x:c r="T10">
        <x:v>43</x:v>
      </x:c>
      <x:c r="U10">
        <x:v>0</x:v>
      </x:c>
      <x:c r="V10">
        <x:v>0</x:v>
      </x:c>
    </x:row>
    <x:row r="11" ht="15" hidden="0" customHeight="1">
      <x:c r="A11" t="s">
        <x:v>268</x:v>
      </x:c>
      <x:c r="B11" t="s">
        <x:v>271</x:v>
      </x:c>
      <x:c r="C11" t="s">
        <x:v>272</x:v>
      </x:c>
      <x:c r="D11" t="s">
        <x:v>190</x:v>
      </x:c>
      <x:c r="E11">
        <x:v>650</x:v>
      </x:c>
      <x:c r="F11">
        <x:v>850</x:v>
      </x:c>
      <x:c r="G11">
        <x:v>711.28</x:v>
      </x:c>
      <x:c r="H11">
        <x:v>1531.4</x:v>
      </x:c>
      <x:c r="I11">
        <x:v>495.42</x:v>
      </x:c>
      <x:c r="J11">
        <x:v>1101.1199999999999</x:v>
      </x:c>
      <x:c r="K11">
        <x:v>678.63</x:v>
      </x:c>
      <x:c r="L11">
        <x:v>528.86</x:v>
      </x:c>
      <x:c r="M11">
        <x:v>615.52</x:v>
      </x:c>
      <x:c r="N11">
        <x:v>990.64</x:v>
      </x:c>
      <x:c r="O11">
        <x:v>1039.6300000000001</x:v>
      </x:c>
      <x:c r="P11">
        <x:v>1132.01</x:v>
      </x:c>
      <x:c r="Q11">
        <x:v>1204.19</x:v>
      </x:c>
      <x:c r="R11">
        <x:v>868.4</x:v>
      </x:c>
      <x:c r="S11">
        <x:v>629.49</x:v>
      </x:c>
      <x:c r="T11">
        <x:v>934.06</x:v>
      </x:c>
      <x:c r="U11">
        <x:v>803.49</x:v>
      </x:c>
      <x:c r="V11">
        <x:v>398.12</x:v>
      </x:c>
    </x:row>
    <x:row r="12" ht="15" hidden="0" customHeight="1">
      <x:c r="A12" t="s">
        <x:v>273</x:v>
      </x:c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</x:row>
    <x:row r="13" ht="15" hidden="0" customHeight="1">
      <x:c r="A13" t="s">
        <x:v>260</x:v>
      </x:c>
      <x:c r="B13" t="s">
        <x:v>221</x:v>
      </x:c>
      <x:c r="C13" t="s">
        <x:v>274</x:v>
      </x:c>
      <x:c r="D13" t="s">
        <x:v>221</x:v>
      </x:c>
      <x:c r="E13">
        <x:v>6</x:v>
      </x:c>
      <x:c r="F13">
        <x:v>3</x:v>
      </x:c>
      <x:c r="G13">
        <x:v>4</x:v>
      </x:c>
      <x:c r="H13">
        <x:v>5</x:v>
      </x:c>
      <x:c r="I13">
        <x:v>5</x:v>
      </x:c>
      <x:c r="J13">
        <x:v>4</x:v>
      </x:c>
      <x:c r="K13">
        <x:v>1</x:v>
      </x:c>
      <x:c r="L13">
        <x:v>5</x:v>
      </x:c>
      <x:c r="M13">
        <x:v>3</x:v>
      </x:c>
      <x:c r="N13">
        <x:v>3</x:v>
      </x:c>
      <x:c r="O13">
        <x:v>3</x:v>
      </x:c>
      <x:c r="P13">
        <x:v>1</x:v>
      </x:c>
      <x:c r="Q13">
        <x:v>0</x:v>
      </x:c>
      <x:c r="R13">
        <x:v>3</x:v>
      </x:c>
      <x:c r="S13">
        <x:v>3</x:v>
      </x:c>
      <x:c r="T13">
        <x:v>3</x:v>
      </x:c>
      <x:c r="U13">
        <x:v>1</x:v>
      </x:c>
      <x:c r="V13">
        <x:v>3</x:v>
      </x:c>
    </x:row>
    <x:row r="14" ht="15" hidden="0" customHeight="1">
      <x:c r="A14" t="s">
        <x:v>260</x:v>
      </x:c>
      <x:c r="B14" t="s">
        <x:v>275</x:v>
      </x:c>
      <x:c r="C14" t="s">
        <x:v>276</x:v>
      </x:c>
      <x:c r="D14" t="s">
        <x:v>277</x:v>
      </x:c>
      <x:c r="E14">
        <x:v>250</x:v>
      </x:c>
      <x:c r="F14">
        <x:v>350</x:v>
      </x:c>
      <x:c r="G14">
        <x:v>344</x:v>
      </x:c>
      <x:c r="H14">
        <x:v>347</x:v>
      </x:c>
      <x:c r="I14">
        <x:v>303</x:v>
      </x:c>
      <x:c r="J14">
        <x:v>258</x:v>
      </x:c>
      <x:c r="K14">
        <x:v>341</x:v>
      </x:c>
      <x:c r="L14">
        <x:v>373</x:v>
      </x:c>
      <x:c r="M14">
        <x:v>373</x:v>
      </x:c>
      <x:c r="N14">
        <x:v>296</x:v>
      </x:c>
      <x:c r="O14">
        <x:v>391</x:v>
      </x:c>
      <x:c r="P14">
        <x:v>387</x:v>
      </x:c>
      <x:c r="Q14">
        <x:v>386</x:v>
      </x:c>
      <x:c r="R14">
        <x:v>327</x:v>
      </x:c>
      <x:c r="S14">
        <x:v>321</x:v>
      </x:c>
      <x:c r="T14">
        <x:v>311</x:v>
      </x:c>
      <x:c r="U14">
        <x:v>262</x:v>
      </x:c>
      <x:c r="V14">
        <x:v>245</x:v>
      </x:c>
    </x:row>
    <x:row r="15" ht="15" hidden="0" customHeight="1">
      <x:c r="A15" t="s">
        <x:v>260</x:v>
      </x:c>
      <x:c r="B15" t="s">
        <x:v>278</x:v>
      </x:c>
      <x:c r="C15" t="s">
        <x:v>279</x:v>
      </x:c>
      <x:c r="D15" t="s">
        <x:v>280</x:v>
      </x:c>
      <x:c r="E15">
        <x:v>95</x:v>
      </x:c>
      <x:c r="F15">
        <x:v>98</x:v>
      </x:c>
      <x:c r="G15">
        <x:v>98</x:v>
      </x:c>
      <x:c r="H15">
        <x:v>99</x:v>
      </x:c>
      <x:c r="I15">
        <x:v>99</x:v>
      </x:c>
      <x:c r="J15">
        <x:v>99</x:v>
      </x:c>
      <x:c r="K15">
        <x:v>99</x:v>
      </x:c>
      <x:c r="L15">
        <x:v>99</x:v>
      </x:c>
      <x:c r="M15">
        <x:v>99</x:v>
      </x:c>
      <x:c r="N15">
        <x:v>99</x:v>
      </x:c>
      <x:c r="O15">
        <x:v>99</x:v>
      </x:c>
      <x:c r="P15">
        <x:v>99</x:v>
      </x:c>
      <x:c r="Q15">
        <x:v>99</x:v>
      </x:c>
      <x:c r="R15">
        <x:v>99</x:v>
      </x:c>
      <x:c r="S15">
        <x:v>90</x:v>
      </x:c>
      <x:c r="T15">
        <x:v>90</x:v>
      </x:c>
      <x:c r="U15">
        <x:v>90</x:v>
      </x:c>
      <x:c r="V15">
        <x:v>90</x:v>
      </x:c>
    </x:row>
    <x:row r="16" ht="15" hidden="0" customHeight="1">
      <x:c r="A16" t="s">
        <x:v>260</x:v>
      </x:c>
      <x:c r="B16" t="s">
        <x:v>281</x:v>
      </x:c>
      <x:c r="C16" t="s">
        <x:v>282</x:v>
      </x:c>
      <x:c r="D16" t="s">
        <x:v>283</x:v>
      </x:c>
      <x:c r="E16">
        <x:v>5000</x:v>
      </x:c>
      <x:c r="F16">
        <x:v>7000</x:v>
      </x:c>
      <x:c r="G16">
        <x:v>4924</x:v>
      </x:c>
      <x:c r="H16">
        <x:v>4409</x:v>
      </x:c>
      <x:c r="I16">
        <x:v>4980</x:v>
      </x:c>
      <x:c r="J16">
        <x:v>4987</x:v>
      </x:c>
      <x:c r="K16">
        <x:v>5198</x:v>
      </x:c>
      <x:c r="L16">
        <x:v>5228</x:v>
      </x:c>
      <x:c r="M16">
        <x:v>5314</x:v>
      </x:c>
      <x:c r="N16">
        <x:v>4983</x:v>
      </x:c>
      <x:c r="O16">
        <x:v>5053</x:v>
      </x:c>
      <x:c r="P16">
        <x:v>4795</x:v>
      </x:c>
      <x:c r="Q16">
        <x:v>4953</x:v>
      </x:c>
      <x:c r="R16">
        <x:v>5006</x:v>
      </x:c>
      <x:c r="S16">
        <x:v>4676</x:v>
      </x:c>
      <x:c r="T16">
        <x:v>7578</x:v>
      </x:c>
      <x:c r="U16">
        <x:v>7592</x:v>
      </x:c>
      <x:c r="V16">
        <x:v>7465</x:v>
      </x:c>
    </x:row>
    <x:row r="17" ht="15" hidden="0" customHeight="1">
      <x:c r="A17" t="s">
        <x:v>260</x:v>
      </x:c>
      <x:c r="B17" t="s">
        <x:v>284</x:v>
      </x:c>
      <x:c r="C17" t="s">
        <x:v>282</x:v>
      </x:c>
      <x:c r="D17" t="s">
        <x:v>283</x:v>
      </x:c>
      <x:c r="E17">
        <x:v>15000</x:v>
      </x:c>
      <x:c r="F17">
        <x:v>17000</x:v>
      </x:c>
      <x:c r="G17">
        <x:v>16973</x:v>
      </x:c>
      <x:c r="H17">
        <x:v>16976</x:v>
      </x:c>
      <x:c r="I17">
        <x:v>17663</x:v>
      </x:c>
      <x:c r="J17">
        <x:v>18117</x:v>
      </x:c>
      <x:c r="K17">
        <x:v>18952</x:v>
      </x:c>
      <x:c r="L17">
        <x:v>18718</x:v>
      </x:c>
      <x:c r="M17">
        <x:v>19045</x:v>
      </x:c>
      <x:c r="N17">
        <x:v>16514</x:v>
      </x:c>
      <x:c r="O17">
        <x:v>16079</x:v>
      </x:c>
      <x:c r="P17">
        <x:v>16057</x:v>
      </x:c>
      <x:c r="Q17">
        <x:v>16453</x:v>
      </x:c>
      <x:c r="R17">
        <x:v>16877</x:v>
      </x:c>
      <x:c r="S17">
        <x:v>16501</x:v>
      </x:c>
      <x:c r="T17">
        <x:v>19760</x:v>
      </x:c>
      <x:c r="U17">
        <x:v>19178</x:v>
      </x:c>
      <x:c r="V17">
        <x:v>18633</x:v>
      </x:c>
    </x:row>
    <x:row r="18" ht="15" hidden="0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</x:row>
    <x:row r="19" ht="15" hidden="0" customHeight="1">
      <x:c r="A19" t="s">
        <x:v>260</x:v>
      </x:c>
      <x:c r="B19" t="s">
        <x:v>285</x:v>
      </x:c>
      <x:c r="C19" t="s">
        <x:v>286</x:v>
      </x:c>
      <x:c r="D19" t="s">
        <x:v>283</x:v>
      </x:c>
      <x:c r="E19">
        <x:v>1000</x:v>
      </x:c>
      <x:c r="F19">
        <x:v>3000</x:v>
      </x:c>
      <x:c r="G19">
        <x:v>1611</x:v>
      </x:c>
      <x:c r="H19">
        <x:v>1579</x:v>
      </x:c>
      <x:c r="I19">
        <x:v>1506</x:v>
      </x:c>
      <x:c r="J19">
        <x:v>1974</x:v>
      </x:c>
      <x:c r="K19">
        <x:v>2623</x:v>
      </x:c>
      <x:c r="L19">
        <x:v>2599</x:v>
      </x:c>
      <x:c r="M19">
        <x:v>2643</x:v>
      </x:c>
      <x:c r="N19">
        <x:v>2080</x:v>
      </x:c>
      <x:c r="O19">
        <x:v>1403</x:v>
      </x:c>
      <x:c r="P19">
        <x:v>1675</x:v>
      </x:c>
      <x:c r="Q19">
        <x:v>1679</x:v>
      </x:c>
      <x:c r="R19">
        <x:v>1738</x:v>
      </x:c>
      <x:c r="S19">
        <x:v>1493</x:v>
      </x:c>
      <x:c r="T19">
        <x:v>1767</x:v>
      </x:c>
      <x:c r="U19">
        <x:v>1871</x:v>
      </x:c>
      <x:c r="V19">
        <x:v>1870</x:v>
      </x:c>
    </x:row>
    <x:row r="20" ht="15" hidden="0" customHeight="1">
      <x:c r="A20" t="s">
        <x:v>260</x:v>
      </x:c>
      <x:c r="B20" t="s">
        <x:v>287</x:v>
      </x:c>
      <x:c r="C20" t="s">
        <x:v>282</x:v>
      </x:c>
      <x:c r="D20" t="s">
        <x:v>283</x:v>
      </x:c>
      <x:c r="E20">
        <x:v>4.1666666666666664E-2</x:v>
      </x:c>
      <x:c r="F20">
        <x:v>8.3333333333333329E-2</x:v>
      </x:c>
      <x:c r="G20">
        <x:v>5.2083333333333336E-2</x:v>
      </x:c>
      <x:c r="H20">
        <x:v>5.6250000000000001E-2</x:v>
      </x:c>
      <x:c r="I20">
        <x:v>5.486111111111111E-2</x:v>
      </x:c>
      <x:c r="J20">
        <x:v>5.0694444444444445E-2</x:v>
      </x:c>
      <x:c r="K20">
        <x:v>0.05</x:v>
      </x:c>
      <x:c r="L20">
        <x:v>4.583333333333333E-2</x:v>
      </x:c>
      <x:c r="M20">
        <x:v>4.6527777777777779E-2</x:v>
      </x:c>
      <x:c r="N20">
        <x:v>4.2361111111111113E-2</x:v>
      </x:c>
      <x:c r="O20">
        <x:v>4.3055555555555555E-2</x:v>
      </x:c>
      <x:c r="P20">
        <x:v>4.4444444444444446E-2</x:v>
      </x:c>
      <x:c r="Q20">
        <x:v>4.4444444444444446E-2</x:v>
      </x:c>
      <x:c r="R20">
        <x:v>4.5138888888888888E-2</x:v>
      </x:c>
      <x:c r="S20">
        <x:v>4.8611111111111112E-2</x:v>
      </x:c>
      <x:c r="T20">
        <x:v>3.6805555555555557E-2</x:v>
      </x:c>
      <x:c r="U20">
        <x:v>3.6805555555555557E-2</x:v>
      </x:c>
      <x:c r="V20">
        <x:v>3.4722222222222224E-2</x:v>
      </x:c>
    </x:row>
    <x:row r="21" ht="15" hidden="0" customHeight="1">
      <x:c r="A21" t="s">
        <x:v>260</x:v>
      </x:c>
      <x:c r="B21" t="s">
        <x:v>288</x:v>
      </x:c>
      <x:c r="C21" t="s">
        <x:v>289</x:v>
      </x:c>
      <x:c r="D21" t="s">
        <x:v>290</x:v>
      </x:c>
      <x:c r="E21" t="s">
        <x:v>291</x:v>
      </x:c>
      <x:c r="F21" t="str">
        <x:f>'Public Engagement'!E23</x:f>
        <x:v>500</x:v>
      </x:c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</x:row>
    <x:row r="22" ht="15" hidden="0" customHeight="1">
      <x:c r="A22" t="s">
        <x:v>292</x:v>
      </x:c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</x:row>
    <x:row r="23" ht="15" hidden="0" customHeight="1">
      <x:c r="A23" t="s">
        <x:v>293</x:v>
      </x:c>
      <x:c r="B23" t="s">
        <x:v>294</x:v>
      </x:c>
      <x:c r="C23" t="s">
        <x:v>295</x:v>
      </x:c>
      <x:c r="D23" t="s">
        <x:v>296</x:v>
      </x:c>
      <x:c r="E23">
        <x:v>500</x:v>
      </x:c>
      <x:c r="F23">
        <x:v>1000</x:v>
      </x:c>
      <x:c r="G23">
        <x:v>1200</x:v>
      </x:c>
      <x:c r="H23">
        <x:v>1500</x:v>
      </x:c>
      <x:c r="I23">
        <x:v>1600</x:v>
      </x:c>
      <x:c r="J23">
        <x:v>843</x:v>
      </x:c>
      <x:c r="K23">
        <x:v>661</x:v>
      </x:c>
      <x:c r="L23">
        <x:v>1500</x:v>
      </x:c>
      <x:c r="M23">
        <x:v>488</x:v>
      </x:c>
      <x:c r="N23">
        <x:v>341</x:v>
      </x:c>
      <x:c r="O23">
        <x:v>2100</x:v>
      </x:c>
      <x:c r="P23">
        <x:v>669</x:v>
      </x:c>
      <x:c r="Q23">
        <x:v>1600</x:v>
      </x:c>
      <x:c r="R23">
        <x:v>2600</x:v>
      </x:c>
      <x:c r="S23">
        <x:v>546</x:v>
      </x:c>
      <x:c r="T23">
        <x:v>539</x:v>
      </x:c>
      <x:c r="U23">
        <x:v>726</x:v>
      </x:c>
      <x:c r="V23">
        <x:v>1500</x:v>
      </x:c>
    </x:row>
    <x:row r="24" ht="15" hidden="0" customHeight="1">
      <x:c r="A24" t="s">
        <x:v>293</x:v>
      </x:c>
      <x:c r="B24" t="s">
        <x:v>297</x:v>
      </x:c>
      <x:c r="C24" t="s">
        <x:v>298</x:v>
      </x:c>
      <x:c r="D24" t="s">
        <x:v>296</x:v>
      </x:c>
      <x:c r="E24">
        <x:v>10000</x:v>
      </x:c>
      <x:c r="F24">
        <x:v>18000</x:v>
      </x:c>
      <x:c r="G24">
        <x:v>16600</x:v>
      </x:c>
      <x:c r="H24">
        <x:v>9400</x:v>
      </x:c>
      <x:c r="I24">
        <x:v>15600</x:v>
      </x:c>
      <x:c r="J24">
        <x:v>10000</x:v>
      </x:c>
      <x:c r="K24">
        <x:v>11400</x:v>
      </x:c>
      <x:c r="L24">
        <x:v>9800</x:v>
      </x:c>
      <x:c r="M24">
        <x:v>16200</x:v>
      </x:c>
      <x:c r="N24">
        <x:v>11400</x:v>
      </x:c>
      <x:c r="O24">
        <x:v>7400</x:v>
      </x:c>
      <x:c r="P24">
        <x:v>6500</x:v>
      </x:c>
      <x:c r="Q24">
        <x:v>36900</x:v>
      </x:c>
      <x:c r="R24">
        <x:v>15900</x:v>
      </x:c>
      <x:c r="S24">
        <x:v>16700</x:v>
      </x:c>
      <x:c r="T24">
        <x:v>18800</x:v>
      </x:c>
      <x:c r="U24">
        <x:v>16900</x:v>
      </x:c>
      <x:c r="V24">
        <x:v>23900</x:v>
      </x:c>
    </x:row>
    <x:row r="25" ht="15" hidden="0" customHeight="1">
      <x:c r="A25" t="s">
        <x:v>293</x:v>
      </x:c>
      <x:c r="B25" t="s">
        <x:v>299</x:v>
      </x:c>
      <x:c r="C25" t="s">
        <x:v>300</x:v>
      </x:c>
      <x:c r="D25" t="s">
        <x:v>301</x:v>
      </x:c>
      <x:c r="E25">
        <x:v>6000</x:v>
      </x:c>
      <x:c r="F25">
        <x:v>6250</x:v>
      </x:c>
      <x:c r="G25">
        <x:v>5985</x:v>
      </x:c>
      <x:c r="H25">
        <x:v>5988</x:v>
      </x:c>
      <x:c r="I25">
        <x:v>6045</x:v>
      </x:c>
      <x:c r="J25">
        <x:v>6049</x:v>
      </x:c>
      <x:c r="K25">
        <x:v>6075</x:v>
      </x:c>
      <x:c r="L25">
        <x:v>6075</x:v>
      </x:c>
      <x:c r="M25">
        <x:v>6078</x:v>
      </x:c>
      <x:c r="N25">
        <x:v>6147</x:v>
      </x:c>
      <x:c r="O25">
        <x:v>6150</x:v>
      </x:c>
      <x:c r="P25">
        <x:v>6167</x:v>
      </x:c>
      <x:c r="Q25">
        <x:v>6190</x:v>
      </x:c>
      <x:c r="R25">
        <x:v>6235</x:v>
      </x:c>
      <x:c r="S25">
        <x:v>6229</x:v>
      </x:c>
      <x:c r="T25">
        <x:v>6238</x:v>
      </x:c>
      <x:c r="U25">
        <x:v>6241</x:v>
      </x:c>
      <x:c r="V25">
        <x:v>6295</x:v>
      </x:c>
    </x:row>
    <x:row r="26" ht="15" hidden="0" customHeight="1">
      <x:c r="A26" t="s">
        <x:v>293</x:v>
      </x:c>
      <x:c r="B26" t="s">
        <x:v>302</x:v>
      </x:c>
      <x:c r="C26" t="s">
        <x:v>303</x:v>
      </x:c>
      <x:c r="D26" t="s">
        <x:v>301</x:v>
      </x:c>
      <x:c r="E26">
        <x:v>0.4</x:v>
      </x:c>
      <x:c r="F26">
        <x:v>0.5</x:v>
      </x:c>
      <x:c r="G26" t="s">
        <x:v>304</x:v>
      </x:c>
      <x:c r="H26" t="s">
        <x:v>304</x:v>
      </x:c>
      <x:c r="I26" t="s">
        <x:v>304</x:v>
      </x:c>
      <x:c r="J26">
        <x:v>9.5000000000000001E-2</x:v>
      </x:c>
      <x:c r="K26" t="s">
        <x:v>304</x:v>
      </x:c>
      <x:c r="L26" t="s">
        <x:v>304</x:v>
      </x:c>
      <x:c r="M26" t="s">
        <x:v>304</x:v>
      </x:c>
      <x:c r="N26" t="s">
        <x:v>304</x:v>
      </x:c>
      <x:c r="O26">
        <x:v>0.1</x:v>
      </x:c>
      <x:c r="P26" t="s">
        <x:v>304</x:v>
      </x:c>
      <x:c r="Q26" t="s">
        <x:v>304</x:v>
      </x:c>
      <x:c r="R26" t="s">
        <x:v>304</x:v>
      </x:c>
      <x:c r="S26">
        <x:v>0.22800000000000001</x:v>
      </x:c>
      <x:c r="T26" t="s">
        <x:v>304</x:v>
      </x:c>
      <x:c r="U26" t="s">
        <x:v>304</x:v>
      </x:c>
      <x:c r="V26" t="s">
        <x:v>304</x:v>
      </x:c>
    </x:row>
  </x:sheetData>
  <x:pageMargins left="0.7" right="0.7" top="0.75" bottom="0.75" header="0.3" footer="0.3"/>
</x:worksheet>
</file>