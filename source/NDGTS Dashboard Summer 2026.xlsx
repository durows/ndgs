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gatewaytoscience.sharepoint.com/Staff Documents/Operations/Weekly Dashboard Metrics/"/>
    </mc:Choice>
  </mc:AlternateContent>
  <xr:revisionPtr revIDLastSave="0" documentId="8_{9E29F1F7-66BD-41D6-81BE-DB233386EE5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SU 2026 All Team" sheetId="1" r:id="rId1"/>
    <sheet name="Ops" sheetId="3" r:id="rId2"/>
    <sheet name="Education" sheetId="5" r:id="rId3"/>
    <sheet name="Public Engagemen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3rHfyh6lS267RH20GvWjQ2mbnWrEiXKV2YGBOUjAwEg="/>
    </ext>
  </extLst>
</workbook>
</file>

<file path=xl/calcChain.xml><?xml version="1.0" encoding="utf-8"?>
<calcChain xmlns="http://schemas.openxmlformats.org/spreadsheetml/2006/main">
  <c r="H13" i="5" l="1"/>
  <c r="G13" i="5"/>
  <c r="F11" i="1" a="1"/>
  <c r="F11" i="1"/>
  <c r="F10" i="1" a="1"/>
  <c r="F10" i="1"/>
  <c r="F9" i="1" a="1"/>
  <c r="F9" i="1"/>
  <c r="F8" i="1" a="1"/>
  <c r="F8" i="1"/>
  <c r="F7" i="1" a="1"/>
  <c r="F7" i="1"/>
  <c r="F6" i="1" a="1"/>
  <c r="F6" i="1" s="1"/>
  <c r="F5" i="1" a="1"/>
  <c r="F5" i="1"/>
  <c r="F4" i="1" a="1"/>
  <c r="F4" i="1"/>
  <c r="F21" i="6"/>
  <c r="H2" i="6"/>
  <c r="H3" i="6" s="1"/>
  <c r="I2" i="6" s="1"/>
  <c r="I3" i="6" s="1"/>
  <c r="J2" i="6" s="1"/>
  <c r="J3" i="6" s="1"/>
  <c r="K2" i="6" s="1"/>
  <c r="K3" i="6" s="1"/>
  <c r="L2" i="6" s="1"/>
  <c r="L3" i="6" s="1"/>
  <c r="M2" i="6" s="1"/>
  <c r="M3" i="6" s="1"/>
  <c r="N2" i="6" s="1"/>
  <c r="N3" i="6" s="1"/>
  <c r="O2" i="6" s="1"/>
  <c r="O3" i="6" s="1"/>
  <c r="P2" i="6" s="1"/>
  <c r="P3" i="6" s="1"/>
  <c r="Q2" i="6" s="1"/>
  <c r="Q3" i="6" s="1"/>
  <c r="R2" i="6" s="1"/>
  <c r="R3" i="6" s="1"/>
  <c r="S2" i="6" s="1"/>
  <c r="S3" i="6" s="1"/>
  <c r="T2" i="6" s="1"/>
  <c r="T3" i="6" s="1"/>
  <c r="U2" i="6" s="1"/>
  <c r="U3" i="6" s="1"/>
  <c r="V2" i="6" s="1"/>
  <c r="V3" i="6" s="1"/>
  <c r="H2" i="5"/>
  <c r="H3" i="5" s="1"/>
  <c r="I2" i="5" s="1"/>
  <c r="I3" i="5" s="1"/>
  <c r="J2" i="5" s="1"/>
  <c r="J3" i="5" s="1"/>
  <c r="K2" i="5" s="1"/>
  <c r="K3" i="5" s="1"/>
  <c r="L2" i="5" s="1"/>
  <c r="L3" i="5" s="1"/>
  <c r="M2" i="5" s="1"/>
  <c r="M3" i="5" s="1"/>
  <c r="N2" i="5" s="1"/>
  <c r="N3" i="5" s="1"/>
  <c r="O2" i="5" s="1"/>
  <c r="O3" i="5" s="1"/>
  <c r="P2" i="5" s="1"/>
  <c r="P3" i="5" s="1"/>
  <c r="Q2" i="5" s="1"/>
  <c r="Q3" i="5" s="1"/>
  <c r="R2" i="5" s="1"/>
  <c r="R3" i="5" s="1"/>
  <c r="S2" i="5" s="1"/>
  <c r="S3" i="5" s="1"/>
  <c r="T2" i="5" s="1"/>
  <c r="T3" i="5" s="1"/>
  <c r="U2" i="5" s="1"/>
  <c r="U3" i="5" s="1"/>
  <c r="V2" i="5" s="1"/>
  <c r="V3" i="5" s="1"/>
  <c r="H2" i="3"/>
  <c r="H3" i="3" s="1"/>
  <c r="I2" i="3" s="1"/>
  <c r="I3" i="3" s="1"/>
  <c r="J2" i="3" s="1"/>
  <c r="J3" i="3" s="1"/>
  <c r="K2" i="3" s="1"/>
  <c r="K3" i="3" s="1"/>
  <c r="L2" i="3" s="1"/>
  <c r="L3" i="3" s="1"/>
  <c r="M2" i="3" s="1"/>
  <c r="M3" i="3" s="1"/>
  <c r="N2" i="3" s="1"/>
  <c r="N3" i="3" s="1"/>
  <c r="O2" i="3" s="1"/>
  <c r="O3" i="3" s="1"/>
  <c r="P2" i="3" s="1"/>
  <c r="P3" i="3" s="1"/>
  <c r="Q2" i="3" s="1"/>
  <c r="Q3" i="3" s="1"/>
  <c r="R2" i="3" s="1"/>
  <c r="R3" i="3" s="1"/>
  <c r="S2" i="3" s="1"/>
  <c r="S3" i="3" s="1"/>
  <c r="T2" i="3" s="1"/>
  <c r="T3" i="3" s="1"/>
  <c r="U2" i="3" s="1"/>
  <c r="U3" i="3" s="1"/>
  <c r="V2" i="3" s="1"/>
  <c r="V3" i="3" s="1"/>
  <c r="I2" i="1"/>
  <c r="I3" i="1" s="1"/>
  <c r="J2" i="1" s="1"/>
  <c r="J3" i="1" s="1"/>
  <c r="K2" i="1" s="1"/>
  <c r="K3" i="1" s="1"/>
  <c r="L2" i="1" s="1"/>
  <c r="L3" i="1" s="1"/>
  <c r="M2" i="1" s="1"/>
  <c r="M3" i="1" s="1"/>
  <c r="N2" i="1" s="1"/>
  <c r="N3" i="1" s="1"/>
  <c r="O2" i="1" s="1"/>
  <c r="O3" i="1" s="1"/>
  <c r="P2" i="1" s="1"/>
  <c r="P3" i="1" s="1"/>
  <c r="Q2" i="1" s="1"/>
  <c r="Q3" i="1" s="1"/>
  <c r="R2" i="1" s="1"/>
  <c r="R3" i="1" s="1"/>
  <c r="S2" i="1" s="1"/>
  <c r="S3" i="1" s="1"/>
  <c r="T2" i="1" s="1"/>
  <c r="T3" i="1" s="1"/>
  <c r="U2" i="1" s="1"/>
  <c r="U3" i="1" s="1"/>
  <c r="V2" i="1" s="1"/>
  <c r="V3" i="1" s="1"/>
  <c r="W2" i="1" s="1"/>
  <c r="W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tc={E3E599D8-B9D3-4BA9-B43F-CA54F9607D84}</author>
    <author>Beth Demke</author>
  </authors>
  <commentList>
    <comment ref="C5" authorId="0" shapeId="0" xr:uid="{E3E599D8-B9D3-4BA9-B43F-CA54F9607D84}">
      <text>
        <t>[Threaded comment]
Your version of Excel allows you to read this threaded comment; however, any edits to it will get removed if the file is opened in a newer version of Excel. Learn more: https://go.microsoft.com/fwlink/?linkid=870924
Comment:
    Metric includes the reporting week and 3 weeks ahead.</t>
      </text>
    </comment>
    <comment ref="G7" authorId="1" shapeId="0" xr:uid="{CBBF0819-0D1A-4253-96B1-C3E7FAB82276}">
      <text>
        <r>
          <rPr>
            <sz val="10"/>
            <color rgb="FF000000"/>
            <rFont val="Arial"/>
            <scheme val="minor"/>
          </rPr>
          <t/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tc={57CAB7E6-EF72-4892-987D-ACD8907ACC4B}</author>
    <author>tc={429575A8-B5F9-4F93-A348-A2C0D3E019E1}</author>
    <author>tc={D36CDC76-D8DF-4A0F-AC71-63EBDA81EDDE}</author>
    <author>tc={7FAD2F6D-F1EF-4398-B3F9-D8837385D94B}</author>
    <author>tc={7EB45680-21A0-4375-923D-29B307EAE7C4}</author>
    <author>tc={530FAF92-09CF-4A6B-8934-17A3F25EED03}</author>
    <author>tc={80D3672D-33E5-492B-A396-336CC1368F86}</author>
    <author>tc={26BFA703-BCA4-4A58-82AC-4D2F3CA92F5F}</author>
  </authors>
  <commentList>
    <comment ref="C6" authorId="0" shapeId="0" xr:uid="{57CAB7E6-EF72-4892-987D-ACD8907ACC4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Counting camp</t>
      </text>
    </comment>
    <comment ref="B7" authorId="1" shapeId="0" xr:uid="{429575A8-B5F9-4F93-A348-A2C0D3E0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Workshops
PDH
Onsite community events
Adult programming
Camps (not summer) and Clubs 
Ribbon cuttings, etc.</t>
      </text>
    </comment>
    <comment ref="C7" authorId="2" shapeId="0" xr:uid="{D36CDC76-D8DF-4A0F-AC71-63EBDA81E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the week plus 3</t>
      </text>
    </comment>
    <comment ref="B9" authorId="3" shapeId="0" xr:uid="{7FAD2F6D-F1EF-4398-B3F9-D8837385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Janie, Ekaterina, David, Brooke, Dawn</t>
      </text>
    </comment>
    <comment ref="C13" authorId="4" shapeId="0" xr:uid="{7EB45680-21A0-4375-923D-29B307EAE7C4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Example: On 1/11, calculate last 30 days of students in 2025 AND in 2024. Determine percent difference between years.</t>
      </text>
    </comment>
    <comment ref="C16" authorId="5" shapeId="0" xr:uid="{530FAF92-09CF-4A6B-8934-17A3F25EED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Community Partnerships in ProgrammingDate</t>
      </text>
    </comment>
    <comment ref="C17" authorId="6" shapeId="0" xr:uid="{80D3672D-33E5-492B-A396-336CC1368F86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Book.xlsx</t>
      </text>
    </comment>
    <comment ref="D17" authorId="7" shapeId="0" xr:uid="{26BFA703-BCA4-4A58-82AC-4D2F3CA92F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want to quantify this as event coming up in the span of 30 days or trailing 30 days? At the time of inquiry?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Beth Demke</author>
    <author>tc={244B2A68-8242-4D98-9E80-857B0D4BF262}</author>
    <author>tc={95412314-8161-4571-B6EE-5CED5CF307FF}</author>
    <author>tc={76D04CBB-0ABC-41BF-A309-52A19F1832DC}</author>
    <author>Julia Quilao</author>
    <author>tc={4CF25548-039C-44AF-A23F-2A5B41B8C687}</author>
  </authors>
  <commentList>
    <comment ref="H9" authorId="0" shapeId="0" xr:uid="{026E4896-9F09-4D53-A090-875DFB6D675E}">
      <text>
        <r>
          <rPr>
            <sz val="10"/>
            <color rgb="FF000000"/>
            <rFont val="Arial"/>
            <scheme val="minor"/>
          </rPr>
          <t xml:space="preserve">
</t>
        </r>
      </text>
    </comment>
    <comment ref="I11" authorId="1" shapeId="0" xr:uid="{244B2A68-8242-4D98-9E80-857B0D4BF2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 Sunday/Monday for Memorial Day</t>
      </text>
    </comment>
    <comment ref="C14" authorId="2" shapeId="0" xr:uid="{95412314-8161-4571-B6EE-5CED5CF307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How many times a user saw our website in search results. </t>
      </text>
    </comment>
    <comment ref="D23" authorId="3" shapeId="0" xr:uid="{76D04CBB-0ABC-41BF-A309-52A19F1832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Overview to see "Your last week in review"</t>
      </text>
    </comment>
    <comment ref="N24" authorId="4" shapeId="0" xr:uid="{5D2D4BE3-0FD9-44BC-96DD-89918771F784}">
      <text>
        <r>
          <rPr>
            <sz val="10"/>
            <color rgb="FF000000"/>
            <rFont val="Arial"/>
            <scheme val="minor"/>
          </rPr>
          <t>Julia Quilao:
Views count. Not showing "Reach" number.</t>
        </r>
      </text>
    </comment>
    <comment ref="Q24" authorId="5" shapeId="0" xr:uid="{4CF25548-039C-44AF-A23F-2A5B41B8C6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week measuring views instead of reach due to changes in how metrics are measured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<sst xmlns="http://schemas.openxmlformats.org/spreadsheetml/2006/main" count="292" uniqueCount="148">
  <si>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</si>
  <si>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</si>
  <si>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</si>
  <si>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</si>
  <si>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</si>
  <si>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</si>
  <si>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</si>
  <si>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</si>
  <si>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</si>
  <si>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</si>
  <si>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</si>
  <si>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</si>
  <si>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</si>
  <si>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</si>
  <si>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</si>
  <si>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</si>
  <si>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Team Member</t>
  </si>
  <si>
    <t>Team</t>
  </si>
  <si>
    <t>Metric</t>
  </si>
  <si>
    <t>Purpose</t>
  </si>
  <si>
    <t>Source</t>
  </si>
  <si>
    <t>Threshold #</t>
  </si>
  <si>
    <t>Goal #</t>
  </si>
  <si>
    <t>Operations</t>
  </si>
  <si>
    <t>Overdue A/R (30 Days)</t>
  </si>
  <si>
    <t xml:space="preserve">We're managing our cashflow and payments. </t>
  </si>
  <si>
    <t>Quickbooks</t>
  </si>
  <si>
    <t>Down exhibits</t>
  </si>
  <si>
    <t xml:space="preserve">We're maintaining exhibits for visitors. </t>
  </si>
  <si>
    <t>Manual</t>
  </si>
  <si>
    <t>Kristie</t>
  </si>
  <si>
    <t>Event Participation</t>
  </si>
  <si>
    <t>Our facility is welcoming community members beyond the gallery.</t>
  </si>
  <si>
    <t>SalesForce</t>
  </si>
  <si>
    <t>Education</t>
  </si>
  <si>
    <t>Onsite Participation</t>
  </si>
  <si>
    <t>We're growing our onsite programming participation.</t>
  </si>
  <si>
    <t>Veevart</t>
  </si>
  <si>
    <t>Partnerships</t>
  </si>
  <si>
    <t>Offsite Participation</t>
  </si>
  <si>
    <t xml:space="preserve">We're growing our educational reach. </t>
  </si>
  <si>
    <t>Programs Sheet</t>
  </si>
  <si>
    <t>Products</t>
  </si>
  <si>
    <t>Public Engagement</t>
  </si>
  <si>
    <t>Facebook Views</t>
  </si>
  <si>
    <t>We're engaging with followers on our largest platform.</t>
  </si>
  <si>
    <t>Meta</t>
  </si>
  <si>
    <t>Gallery Visitors</t>
  </si>
  <si>
    <t>Our gallery is a place the community frequents.</t>
  </si>
  <si>
    <t>Community</t>
  </si>
  <si>
    <t>Memberships</t>
  </si>
  <si>
    <t>We're growing new and renewing comm memberships.</t>
  </si>
  <si>
    <t>Determinants: metrics that 1) reflect mission impact, growth, and issues, 2) have someone accountable, and 3) indicate change.</t>
  </si>
  <si>
    <t>Sherri</t>
  </si>
  <si>
    <t>We're managing our cashflow and receivables.</t>
  </si>
  <si>
    <t>Facility Events</t>
  </si>
  <si>
    <t>Our facility events are supporting our mission. (1mo)</t>
  </si>
  <si>
    <t>Outlook calendar</t>
  </si>
  <si>
    <t>Birthday Parties</t>
  </si>
  <si>
    <t>Our facility is welcoming community members to event spaces.</t>
  </si>
  <si>
    <t>Master calendar</t>
  </si>
  <si>
    <t>Beth</t>
  </si>
  <si>
    <t>Teamwork Overdue - Fac/Eve/Ops</t>
  </si>
  <si>
    <t xml:space="preserve">We're completing projects and tasks as scoped and on time. </t>
  </si>
  <si>
    <t>Teamwork</t>
  </si>
  <si>
    <t>Alisha</t>
  </si>
  <si>
    <t>Onsite Programming</t>
  </si>
  <si>
    <t>We're growing onsite programming (Last 30 days, compared to last year.)</t>
  </si>
  <si>
    <t>Onsite</t>
  </si>
  <si>
    <t>Onsite Participants</t>
  </si>
  <si>
    <t>We're continually providing events (Last 30 days)</t>
  </si>
  <si>
    <t>We're inviting the public outside of gallery visits and rental events (1 month rolling)</t>
  </si>
  <si>
    <t>Master Calendar</t>
  </si>
  <si>
    <t>Teamwork - Gallery</t>
  </si>
  <si>
    <t>We're staying on top of tasks (Gallery)</t>
  </si>
  <si>
    <t>Teamwork - Education</t>
  </si>
  <si>
    <t>We're staying on top of tasks (Education)</t>
  </si>
  <si>
    <t>8</t>
  </si>
  <si>
    <t>4</t>
  </si>
  <si>
    <t>Growing Programming</t>
  </si>
  <si>
    <t>Onsite Camps/Clubs</t>
  </si>
  <si>
    <t>We are filling onsite camps and clubs to capacity</t>
  </si>
  <si>
    <t>Attendance/Programs Sheet</t>
  </si>
  <si>
    <t>Hope</t>
  </si>
  <si>
    <t>Offsite Participants</t>
  </si>
  <si>
    <t>We're growing offsite programming (Last 30 days, compared to last year.)</t>
  </si>
  <si>
    <t>0%</t>
  </si>
  <si>
    <t>12%</t>
  </si>
  <si>
    <t>We're growing our offsite programming reach (Last 30 days)</t>
  </si>
  <si>
    <t>300</t>
  </si>
  <si>
    <t>600</t>
  </si>
  <si>
    <t>Community Partners</t>
  </si>
  <si>
    <t>Community partnerships in programming (1 month rolling)</t>
  </si>
  <si>
    <t>Master Calendar + Summer Camp Schedule</t>
  </si>
  <si>
    <t>6</t>
  </si>
  <si>
    <t>10</t>
  </si>
  <si>
    <t>Offsite Events</t>
  </si>
  <si>
    <t>We are pusuring new and less visited offsite program partners</t>
  </si>
  <si>
    <t>0</t>
  </si>
  <si>
    <t>1</t>
  </si>
  <si>
    <t>((This year-last year)/last YEAR)*100</t>
  </si>
  <si>
    <t>Last year's attendance</t>
  </si>
  <si>
    <t>Development</t>
  </si>
  <si>
    <t>Ashley</t>
  </si>
  <si>
    <t>Community Memberships</t>
  </si>
  <si>
    <t>We're growing community memberships.</t>
  </si>
  <si>
    <t xml:space="preserve">New/Renewed Memberships </t>
  </si>
  <si>
    <t xml:space="preserve">We are attracting new members. </t>
  </si>
  <si>
    <t>Renewal Rate - Last 90 Days</t>
  </si>
  <si>
    <t xml:space="preserve">Our members find value in continued membership. </t>
  </si>
  <si>
    <t>Gallery</t>
  </si>
  <si>
    <t>Dawn</t>
  </si>
  <si>
    <t>Field Trips/Group Visitors</t>
  </si>
  <si>
    <t xml:space="preserve">Our gallery is attracting schools and groups. </t>
  </si>
  <si>
    <t>Gift Shop Sales</t>
  </si>
  <si>
    <t>Our gift shop offers the visitors a piece of NDGTS</t>
  </si>
  <si>
    <t>Website</t>
  </si>
  <si>
    <t>We're following through on priorities.</t>
  </si>
  <si>
    <t>"Gateway to Science" Search</t>
  </si>
  <si>
    <t>Our mission is known in the community.</t>
  </si>
  <si>
    <t>GSC</t>
  </si>
  <si>
    <t>Site Health</t>
  </si>
  <si>
    <t>An important marketing tool is working.</t>
  </si>
  <si>
    <t>ahrefs</t>
  </si>
  <si>
    <t>Monthly Visitors (1m trailing)</t>
  </si>
  <si>
    <t xml:space="preserve">Our site is useful, compelling, and engaging to visitors. </t>
  </si>
  <si>
    <t>GA</t>
  </si>
  <si>
    <r>
      <rPr>
        <sz val="10"/>
        <color rgb="FF000000"/>
        <rFont val="Arial"/>
        <scheme val="minor"/>
      </rPr>
      <t>Monthly Pageviews (1m trailing)</t>
    </r>
  </si>
  <si>
    <t>News Article Posts (Last 30 Days)</t>
  </si>
  <si>
    <t>What we share is reaching audiences.</t>
  </si>
  <si>
    <t>Average Engagement Time</t>
  </si>
  <si>
    <t>Lawyerist Page Engagement</t>
  </si>
  <si>
    <t xml:space="preserve">Users are engaging with products through product pages. </t>
  </si>
  <si>
    <t>Google Tag Manager</t>
  </si>
  <si>
    <t>?</t>
  </si>
  <si>
    <t>Social + Email</t>
  </si>
  <si>
    <t>Julia</t>
  </si>
  <si>
    <t>Instagram Impressions/Reach</t>
  </si>
  <si>
    <t xml:space="preserve">Our Instagram is relevant and useful. </t>
  </si>
  <si>
    <t>Facebook</t>
  </si>
  <si>
    <t>Facebook Post Views</t>
  </si>
  <si>
    <t xml:space="preserve">Our Facebook is relevant and useful. </t>
  </si>
  <si>
    <t>Email Subscribers</t>
  </si>
  <si>
    <t>Our email list is healthy and growing.</t>
  </si>
  <si>
    <t>MailChimp</t>
  </si>
  <si>
    <t>Email open rate (excluding donor)</t>
  </si>
  <si>
    <t xml:space="preserve">Our emails have content people engage with.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</si>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</sst>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/d"/>
    <numFmt numFmtId="166" formatCode="_([$$-409]* #,##0.00_);_([$$-409]* \(#,##0.00\);_([$$-409]* &quot;-&quot;??_);_(@_)"/>
  </numFmts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u/>
      <sz val="10"/>
      <color rgb="FF1155CC"/>
      <name val="Arial"/>
      <scheme val="minor"/>
    </font>
    <font>
      <sz val="11"/>
      <color theme="1"/>
      <name val="Arial"/>
      <scheme val="minor"/>
    </font>
    <font>
      <u/>
      <sz val="11"/>
      <color rgb="FF1155CC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2"/>
      <color theme="1"/>
      <name val="Georgia"/>
    </font>
    <font>
      <sz val="10"/>
      <color rgb="FFFF0000"/>
      <name val="Arial"/>
      <scheme val="minor"/>
    </font>
    <font>
      <sz val="8"/>
      <color rgb="FF000000"/>
      <name val="Arial"/>
      <scheme val="minor"/>
    </font>
    <font>
      <sz val="11"/>
      <color rgb="FF242424"/>
      <name val="Aptos Narrow"/>
      <charset val="1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9">
    <xf numFmtId="0" fontId="0" fillId="0" borderId="0" xfId="0"/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165" fontId="3" fillId="2" borderId="0" xfId="0" applyNumberFormat="1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165" fontId="3" fillId="2" borderId="3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" fillId="5" borderId="1" xfId="0" applyFont="1" applyFill="1" applyBorder="1"/>
    <xf numFmtId="164" fontId="1" fillId="8" borderId="1" xfId="0" applyNumberFormat="1" applyFont="1" applyFill="1" applyBorder="1"/>
    <xf numFmtId="0" fontId="1" fillId="8" borderId="1" xfId="0" applyFont="1" applyFill="1" applyBorder="1"/>
    <xf numFmtId="164" fontId="3" fillId="2" borderId="0" xfId="0" applyNumberFormat="1" applyFont="1" applyFill="1" applyAlignment="1">
      <alignment wrapText="1"/>
    </xf>
    <xf numFmtId="164" fontId="3" fillId="2" borderId="3" xfId="0" applyNumberFormat="1" applyFont="1" applyFill="1" applyBorder="1" applyAlignment="1">
      <alignment horizontal="center"/>
    </xf>
    <xf numFmtId="0" fontId="4" fillId="9" borderId="2" xfId="0" applyFont="1" applyFill="1" applyBorder="1"/>
    <xf numFmtId="0" fontId="1" fillId="9" borderId="2" xfId="0" applyFont="1" applyFill="1" applyBorder="1"/>
    <xf numFmtId="0" fontId="1" fillId="9" borderId="2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3" fontId="4" fillId="9" borderId="2" xfId="0" applyNumberFormat="1" applyFont="1" applyFill="1" applyBorder="1" applyAlignment="1">
      <alignment horizontal="right"/>
    </xf>
    <xf numFmtId="0" fontId="1" fillId="10" borderId="1" xfId="0" applyFont="1" applyFill="1" applyBorder="1"/>
    <xf numFmtId="0" fontId="4" fillId="9" borderId="1" xfId="0" applyFont="1" applyFill="1" applyBorder="1"/>
    <xf numFmtId="0" fontId="1" fillId="9" borderId="1" xfId="0" applyFont="1" applyFill="1" applyBorder="1"/>
    <xf numFmtId="0" fontId="1" fillId="9" borderId="1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3" fontId="4" fillId="9" borderId="1" xfId="0" applyNumberFormat="1" applyFont="1" applyFill="1" applyBorder="1" applyAlignment="1">
      <alignment horizontal="right"/>
    </xf>
    <xf numFmtId="164" fontId="1" fillId="6" borderId="2" xfId="0" applyNumberFormat="1" applyFont="1" applyFill="1" applyBorder="1"/>
    <xf numFmtId="164" fontId="1" fillId="6" borderId="2" xfId="0" applyNumberFormat="1" applyFont="1" applyFill="1" applyBorder="1" applyAlignment="1">
      <alignment wrapText="1"/>
    </xf>
    <xf numFmtId="164" fontId="3" fillId="2" borderId="0" xfId="0" applyNumberFormat="1" applyFont="1" applyFill="1" applyAlignment="1">
      <alignment vertical="top" wrapText="1"/>
    </xf>
    <xf numFmtId="3" fontId="1" fillId="9" borderId="2" xfId="0" applyNumberFormat="1" applyFont="1" applyFill="1" applyBorder="1"/>
    <xf numFmtId="3" fontId="1" fillId="9" borderId="1" xfId="0" applyNumberFormat="1" applyFont="1" applyFill="1" applyBorder="1"/>
    <xf numFmtId="0" fontId="7" fillId="10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wrapText="1"/>
    </xf>
    <xf numFmtId="0" fontId="8" fillId="10" borderId="1" xfId="0" applyFont="1" applyFill="1" applyBorder="1" applyAlignment="1">
      <alignment vertical="top" wrapText="1"/>
    </xf>
    <xf numFmtId="0" fontId="5" fillId="4" borderId="1" xfId="0" applyFont="1" applyFill="1" applyBorder="1"/>
    <xf numFmtId="10" fontId="1" fillId="9" borderId="1" xfId="0" applyNumberFormat="1" applyFont="1" applyFill="1" applyBorder="1"/>
    <xf numFmtId="0" fontId="1" fillId="11" borderId="1" xfId="0" applyFont="1" applyFill="1" applyBorder="1"/>
    <xf numFmtId="3" fontId="1" fillId="11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right"/>
    </xf>
    <xf numFmtId="0" fontId="2" fillId="11" borderId="1" xfId="1" applyFill="1" applyBorder="1"/>
    <xf numFmtId="20" fontId="0" fillId="0" borderId="1" xfId="0" applyNumberFormat="1" applyBorder="1"/>
    <xf numFmtId="9" fontId="0" fillId="0" borderId="1" xfId="0" applyNumberFormat="1" applyBorder="1"/>
    <xf numFmtId="0" fontId="4" fillId="11" borderId="1" xfId="0" applyFont="1" applyFill="1" applyBorder="1"/>
    <xf numFmtId="3" fontId="2" fillId="11" borderId="1" xfId="1" applyNumberFormat="1" applyFill="1" applyBorder="1" applyAlignment="1">
      <alignment horizontal="left"/>
    </xf>
    <xf numFmtId="0" fontId="0" fillId="12" borderId="1" xfId="0" applyFill="1" applyBorder="1"/>
    <xf numFmtId="165" fontId="9" fillId="2" borderId="0" xfId="0" applyNumberFormat="1" applyFont="1" applyFill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0" fontId="10" fillId="0" borderId="0" xfId="0" applyFont="1"/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wrapText="1"/>
    </xf>
    <xf numFmtId="0" fontId="10" fillId="0" borderId="3" xfId="0" applyFont="1" applyBorder="1"/>
    <xf numFmtId="0" fontId="10" fillId="0" borderId="2" xfId="0" applyFont="1" applyBorder="1"/>
    <xf numFmtId="0" fontId="11" fillId="0" borderId="2" xfId="0" applyFont="1" applyBorder="1" applyAlignment="1">
      <alignment wrapText="1"/>
    </xf>
    <xf numFmtId="0" fontId="10" fillId="0" borderId="1" xfId="0" applyFont="1" applyBorder="1"/>
    <xf numFmtId="0" fontId="11" fillId="0" borderId="1" xfId="0" applyFont="1" applyBorder="1" applyAlignment="1">
      <alignment wrapText="1"/>
    </xf>
    <xf numFmtId="0" fontId="11" fillId="3" borderId="1" xfId="0" applyFont="1" applyFill="1" applyBorder="1"/>
    <xf numFmtId="1" fontId="11" fillId="5" borderId="1" xfId="0" applyNumberFormat="1" applyFont="1" applyFill="1" applyBorder="1"/>
    <xf numFmtId="0" fontId="11" fillId="7" borderId="1" xfId="0" applyFont="1" applyFill="1" applyBorder="1"/>
    <xf numFmtId="3" fontId="11" fillId="7" borderId="1" xfId="0" applyNumberFormat="1" applyFont="1" applyFill="1" applyBorder="1" applyAlignment="1">
      <alignment horizontal="right"/>
    </xf>
    <xf numFmtId="164" fontId="11" fillId="4" borderId="1" xfId="0" applyNumberFormat="1" applyFont="1" applyFill="1" applyBorder="1"/>
    <xf numFmtId="0" fontId="10" fillId="13" borderId="1" xfId="0" applyFont="1" applyFill="1" applyBorder="1"/>
    <xf numFmtId="0" fontId="11" fillId="13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49" fontId="2" fillId="5" borderId="1" xfId="1" applyNumberFormat="1" applyFill="1" applyBorder="1" applyAlignment="1">
      <alignment horizontal="left" wrapText="1"/>
    </xf>
    <xf numFmtId="0" fontId="2" fillId="11" borderId="1" xfId="1" applyFill="1" applyBorder="1" applyAlignment="1">
      <alignment wrapText="1"/>
    </xf>
    <xf numFmtId="0" fontId="1" fillId="14" borderId="1" xfId="0" applyFont="1" applyFill="1" applyBorder="1"/>
    <xf numFmtId="49" fontId="2" fillId="14" borderId="1" xfId="1" applyNumberForma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0" fontId="2" fillId="14" borderId="1" xfId="1" applyFill="1" applyBorder="1" applyAlignment="1">
      <alignment wrapText="1"/>
    </xf>
    <xf numFmtId="3" fontId="1" fillId="9" borderId="1" xfId="0" applyNumberFormat="1" applyFont="1" applyFill="1" applyBorder="1" applyAlignment="1">
      <alignment horizontal="right"/>
    </xf>
    <xf numFmtId="20" fontId="1" fillId="11" borderId="1" xfId="0" applyNumberFormat="1" applyFont="1" applyFill="1" applyBorder="1" applyAlignment="1">
      <alignment horizontal="right"/>
    </xf>
    <xf numFmtId="20" fontId="1" fillId="10" borderId="1" xfId="0" applyNumberFormat="1" applyFont="1" applyFill="1" applyBorder="1" applyAlignment="1">
      <alignment horizontal="right"/>
    </xf>
    <xf numFmtId="9" fontId="1" fillId="9" borderId="1" xfId="0" applyNumberFormat="1" applyFont="1" applyFill="1" applyBorder="1" applyAlignment="1">
      <alignment horizontal="right"/>
    </xf>
    <xf numFmtId="3" fontId="1" fillId="14" borderId="1" xfId="0" applyNumberFormat="1" applyFont="1" applyFill="1" applyBorder="1" applyAlignment="1">
      <alignment horizontal="right"/>
    </xf>
    <xf numFmtId="9" fontId="0" fillId="14" borderId="1" xfId="0" applyNumberFormat="1" applyFill="1" applyBorder="1" applyAlignment="1">
      <alignment horizontal="right"/>
    </xf>
    <xf numFmtId="0" fontId="2" fillId="0" borderId="1" xfId="1" applyBorder="1"/>
    <xf numFmtId="0" fontId="1" fillId="6" borderId="2" xfId="0" applyFont="1" applyFill="1" applyBorder="1" applyAlignment="1">
      <alignment horizontal="right"/>
    </xf>
    <xf numFmtId="164" fontId="11" fillId="11" borderId="1" xfId="0" applyNumberFormat="1" applyFont="1" applyFill="1" applyBorder="1"/>
    <xf numFmtId="0" fontId="11" fillId="11" borderId="1" xfId="0" applyFont="1" applyFill="1" applyBorder="1"/>
    <xf numFmtId="164" fontId="1" fillId="8" borderId="4" xfId="0" applyNumberFormat="1" applyFont="1" applyFill="1" applyBorder="1"/>
    <xf numFmtId="164" fontId="11" fillId="11" borderId="4" xfId="0" applyNumberFormat="1" applyFont="1" applyFill="1" applyBorder="1"/>
    <xf numFmtId="0" fontId="11" fillId="11" borderId="4" xfId="0" applyFont="1" applyFill="1" applyBorder="1"/>
    <xf numFmtId="0" fontId="10" fillId="0" borderId="4" xfId="0" applyFont="1" applyBorder="1"/>
    <xf numFmtId="0" fontId="11" fillId="0" borderId="4" xfId="0" applyFont="1" applyBorder="1" applyAlignment="1">
      <alignment wrapText="1"/>
    </xf>
    <xf numFmtId="0" fontId="11" fillId="6" borderId="2" xfId="0" applyFont="1" applyFill="1" applyBorder="1"/>
    <xf numFmtId="164" fontId="11" fillId="6" borderId="2" xfId="0" applyNumberFormat="1" applyFont="1" applyFill="1" applyBorder="1"/>
    <xf numFmtId="164" fontId="11" fillId="6" borderId="2" xfId="0" applyNumberFormat="1" applyFont="1" applyFill="1" applyBorder="1" applyAlignment="1">
      <alignment wrapText="1"/>
    </xf>
    <xf numFmtId="164" fontId="10" fillId="6" borderId="2" xfId="0" applyNumberFormat="1" applyFont="1" applyFill="1" applyBorder="1" applyAlignment="1">
      <alignment wrapText="1"/>
    </xf>
    <xf numFmtId="0" fontId="11" fillId="6" borderId="2" xfId="0" applyFont="1" applyFill="1" applyBorder="1" applyAlignment="1">
      <alignment horizontal="right"/>
    </xf>
    <xf numFmtId="0" fontId="11" fillId="6" borderId="4" xfId="0" applyFont="1" applyFill="1" applyBorder="1"/>
    <xf numFmtId="164" fontId="11" fillId="6" borderId="4" xfId="0" applyNumberFormat="1" applyFont="1" applyFill="1" applyBorder="1"/>
    <xf numFmtId="164" fontId="11" fillId="6" borderId="4" xfId="0" applyNumberFormat="1" applyFont="1" applyFill="1" applyBorder="1" applyAlignment="1">
      <alignment wrapText="1"/>
    </xf>
    <xf numFmtId="164" fontId="10" fillId="6" borderId="4" xfId="0" applyNumberFormat="1" applyFont="1" applyFill="1" applyBorder="1" applyAlignment="1">
      <alignment wrapText="1"/>
    </xf>
    <xf numFmtId="164" fontId="11" fillId="6" borderId="4" xfId="0" applyNumberFormat="1" applyFont="1" applyFill="1" applyBorder="1" applyAlignment="1">
      <alignment horizontal="right"/>
    </xf>
    <xf numFmtId="0" fontId="11" fillId="7" borderId="2" xfId="0" applyFont="1" applyFill="1" applyBorder="1"/>
    <xf numFmtId="0" fontId="11" fillId="7" borderId="2" xfId="0" applyFont="1" applyFill="1" applyBorder="1" applyAlignment="1">
      <alignment wrapText="1"/>
    </xf>
    <xf numFmtId="0" fontId="10" fillId="7" borderId="2" xfId="0" applyFont="1" applyFill="1" applyBorder="1" applyAlignment="1">
      <alignment wrapText="1"/>
    </xf>
    <xf numFmtId="3" fontId="11" fillId="7" borderId="2" xfId="0" applyNumberFormat="1" applyFont="1" applyFill="1" applyBorder="1" applyAlignment="1">
      <alignment horizontal="right"/>
    </xf>
    <xf numFmtId="3" fontId="0" fillId="0" borderId="1" xfId="0" applyNumberFormat="1" applyBorder="1"/>
    <xf numFmtId="166" fontId="0" fillId="0" borderId="1" xfId="0" applyNumberFormat="1" applyBorder="1"/>
    <xf numFmtId="0" fontId="12" fillId="0" borderId="0" xfId="0" applyFont="1"/>
    <xf numFmtId="9" fontId="0" fillId="12" borderId="1" xfId="0" applyNumberFormat="1" applyFill="1" applyBorder="1"/>
    <xf numFmtId="0" fontId="2" fillId="11" borderId="1" xfId="1" applyFill="1" applyBorder="1" applyAlignment="1">
      <alignment horizontal="left" wrapText="1"/>
    </xf>
    <xf numFmtId="0" fontId="13" fillId="0" borderId="1" xfId="0" applyFont="1" applyBorder="1"/>
    <xf numFmtId="9" fontId="1" fillId="6" borderId="2" xfId="0" applyNumberFormat="1" applyFont="1" applyFill="1" applyBorder="1" applyAlignment="1">
      <alignment wrapText="1"/>
    </xf>
    <xf numFmtId="3" fontId="0" fillId="11" borderId="1" xfId="0" applyNumberFormat="1" applyFill="1" applyBorder="1" applyAlignment="1">
      <alignment horizontal="right"/>
    </xf>
    <xf numFmtId="0" fontId="14" fillId="0" borderId="1" xfId="0" applyFont="1" applyBorder="1" applyAlignment="1">
      <alignment wrapText="1"/>
    </xf>
    <xf numFmtId="0" fontId="10" fillId="13" borderId="4" xfId="0" applyFont="1" applyFill="1" applyBorder="1"/>
    <xf numFmtId="0" fontId="10" fillId="13" borderId="2" xfId="0" applyFont="1" applyFill="1" applyBorder="1"/>
    <xf numFmtId="166" fontId="0" fillId="13" borderId="1" xfId="0" applyNumberFormat="1" applyFill="1" applyBorder="1"/>
    <xf numFmtId="0" fontId="0" fillId="13" borderId="1" xfId="0" applyFill="1" applyBorder="1"/>
    <xf numFmtId="0" fontId="0" fillId="13" borderId="2" xfId="0" applyFill="1" applyBorder="1"/>
    <xf numFmtId="9" fontId="0" fillId="13" borderId="1" xfId="0" applyNumberFormat="1" applyFill="1" applyBorder="1"/>
    <xf numFmtId="0" fontId="0" fillId="15" borderId="2" xfId="0" applyFill="1" applyBorder="1"/>
    <xf numFmtId="0" fontId="0" fillId="15" borderId="1" xfId="0" applyFill="1" applyBorder="1"/>
    <xf numFmtId="0" fontId="1" fillId="16" borderId="2" xfId="0" applyFont="1" applyFill="1" applyBorder="1" applyAlignment="1">
      <alignment horizontal="right"/>
    </xf>
    <xf numFmtId="0" fontId="0" fillId="17" borderId="1" xfId="0" applyFill="1" applyBorder="1"/>
    <xf numFmtId="9" fontId="1" fillId="18" borderId="1" xfId="0" applyNumberFormat="1" applyFont="1" applyFill="1" applyBorder="1"/>
    <xf numFmtId="164" fontId="1" fillId="18" borderId="1" xfId="0" applyNumberFormat="1" applyFont="1" applyFill="1" applyBorder="1"/>
    <xf numFmtId="164" fontId="1" fillId="18" borderId="1" xfId="0" applyNumberFormat="1" applyFont="1" applyFill="1" applyBorder="1" applyAlignment="1">
      <alignment wrapText="1"/>
    </xf>
    <xf numFmtId="164" fontId="2" fillId="18" borderId="1" xfId="1" applyNumberFormat="1" applyFill="1" applyBorder="1"/>
    <xf numFmtId="166" fontId="1" fillId="18" borderId="1" xfId="0" applyNumberFormat="1" applyFont="1" applyFill="1" applyBorder="1"/>
    <xf numFmtId="1" fontId="0" fillId="0" borderId="1" xfId="0" applyNumberFormat="1" applyBorder="1"/>
    <xf numFmtId="0" fontId="0" fillId="16" borderId="1" xfId="0" applyFill="1" applyBorder="1"/>
    <xf numFmtId="0" fontId="0" fillId="16" borderId="1" xfId="0" applyFill="1" applyBorder="1" applyAlignment="1">
      <alignment wrapText="1"/>
    </xf>
    <xf numFmtId="9" fontId="0" fillId="16" borderId="1" xfId="0" applyNumberFormat="1" applyFill="1" applyBorder="1"/>
    <xf numFmtId="9" fontId="0" fillId="17" borderId="1" xfId="0" applyNumberFormat="1" applyFill="1" applyBorder="1"/>
    <xf numFmtId="9" fontId="0" fillId="19" borderId="1" xfId="0" applyNumberFormat="1" applyFill="1" applyBorder="1"/>
    <xf numFmtId="3" fontId="0" fillId="14" borderId="1" xfId="0" applyNumberFormat="1" applyFill="1" applyBorder="1" applyAlignment="1">
      <alignment horizontal="right"/>
    </xf>
    <xf numFmtId="0" fontId="0" fillId="11" borderId="1" xfId="0" applyFill="1" applyBorder="1"/>
    <xf numFmtId="164" fontId="4" fillId="20" borderId="2" xfId="0" applyNumberFormat="1" applyFont="1" applyFill="1" applyBorder="1"/>
    <xf numFmtId="164" fontId="1" fillId="20" borderId="2" xfId="0" applyNumberFormat="1" applyFont="1" applyFill="1" applyBorder="1"/>
    <xf numFmtId="164" fontId="1" fillId="20" borderId="2" xfId="0" applyNumberFormat="1" applyFont="1" applyFill="1" applyBorder="1" applyAlignment="1">
      <alignment wrapText="1"/>
    </xf>
    <xf numFmtId="9" fontId="1" fillId="20" borderId="2" xfId="0" applyNumberFormat="1" applyFont="1" applyFill="1" applyBorder="1" applyAlignment="1">
      <alignment wrapText="1"/>
    </xf>
    <xf numFmtId="0" fontId="1" fillId="20" borderId="2" xfId="0" applyFont="1" applyFill="1" applyBorder="1" applyAlignment="1">
      <alignment horizontal="right"/>
    </xf>
    <xf numFmtId="166" fontId="0" fillId="21" borderId="1" xfId="0" applyNumberFormat="1" applyFill="1" applyBorder="1"/>
    <xf numFmtId="4" fontId="0" fillId="0" borderId="1" xfId="0" applyNumberFormat="1" applyBorder="1"/>
    <xf numFmtId="3" fontId="0" fillId="13" borderId="1" xfId="0" applyNumberFormat="1" applyFill="1" applyBorder="1"/>
    <xf numFmtId="0" fontId="1" fillId="22" borderId="1" xfId="0" applyFont="1" applyFill="1" applyBorder="1"/>
    <xf numFmtId="0" fontId="0" fillId="22" borderId="1" xfId="0" applyFill="1" applyBorder="1"/>
    <xf numFmtId="164" fontId="1" fillId="16" borderId="1" xfId="0" applyNumberFormat="1" applyFont="1" applyFill="1" applyBorder="1"/>
    <xf numFmtId="164" fontId="1" fillId="16" borderId="2" xfId="0" applyNumberFormat="1" applyFont="1" applyFill="1" applyBorder="1" applyAlignment="1">
      <alignment wrapText="1"/>
    </xf>
    <xf numFmtId="164" fontId="0" fillId="16" borderId="2" xfId="0" applyNumberFormat="1" applyFill="1" applyBorder="1" applyAlignment="1">
      <alignment wrapText="1"/>
    </xf>
    <xf numFmtId="49" fontId="1" fillId="22" borderId="1" xfId="0" applyNumberFormat="1" applyFont="1" applyFill="1" applyBorder="1" applyAlignment="1">
      <alignment horizontal="right"/>
    </xf>
    <xf numFmtId="166" fontId="1" fillId="22" borderId="1" xfId="0" applyNumberFormat="1" applyFont="1" applyFill="1" applyBorder="1"/>
    <xf numFmtId="4" fontId="13" fillId="0" borderId="1" xfId="0" applyNumberFormat="1" applyFont="1" applyBorder="1"/>
    <xf numFmtId="3" fontId="0" fillId="5" borderId="1" xfId="0" applyNumberFormat="1" applyFill="1" applyBorder="1" applyAlignment="1">
      <alignment horizontal="right"/>
    </xf>
    <xf numFmtId="0" fontId="0" fillId="0" borderId="5" xfId="0" applyBorder="1"/>
    <xf numFmtId="0" fontId="15" fillId="0" borderId="5" xfId="0" applyFont="1" applyBorder="1"/>
    <xf numFmtId="0" fontId="0" fillId="0" borderId="6" xfId="0" applyBorder="1"/>
    <xf numFmtId="0" fontId="0" fillId="0" borderId="7" xfId="0" applyBorder="1"/>
    <xf numFmtId="9" fontId="0" fillId="11" borderId="1" xfId="0" applyNumberFormat="1" applyFill="1" applyBorder="1" applyAlignment="1">
      <alignment horizontal="right"/>
    </xf>
    <xf numFmtId="3" fontId="0" fillId="23" borderId="1" xfId="0" applyNumberFormat="1" applyFill="1" applyBorder="1" applyAlignment="1">
      <alignment horizontal="right"/>
    </xf>
    <xf numFmtId="164" fontId="9" fillId="2" borderId="0" xfId="0" applyNumberFormat="1" applyFont="1" applyFill="1" applyAlignment="1">
      <alignment horizontal="center" wrapText="1"/>
    </xf>
    <xf numFmtId="0" fontId="10" fillId="0" borderId="0" xfId="0" applyFont="1" applyAlignment="1"/>
  </cellXfs>
  <cellStyles count="2">
    <cellStyle name="Hyperlink" xfId="1" builtinId="8"/>
    <cellStyle name="Normal" xfId="0" builtinId="0"/>
  </cellStyles>
  <dxfs count="131">
    <dxf>
      <font>
        <color theme="1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theme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F9FCBB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9FCBB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9FCBB"/>
        </patternFill>
      </fill>
    </dxf>
    <dxf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9FCBB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9FCBB"/>
        </patternFill>
      </fill>
    </dxf>
    <dxf>
      <font>
        <color theme="0"/>
      </font>
      <fill>
        <patternFill patternType="solid">
          <bgColor theme="0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9FCBB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D9D2E9"/>
      <color rgb="FFD9EAD3"/>
      <color rgb="FFF9FC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sheetMetadata" Target="metadata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pe Burdolski" id="{F2ADB3C8-F9C7-42B6-A31C-BE46FB3B7BAF}" userId="S::hope@gscience.org::c7ed2229-2f81-41df-b2d3-8969dbc74f81" providerId="AD"/>
  <person displayName="Julia Quilao" id="{44BF3987-40B3-4257-A8CA-407D6B293098}" userId="S::julia@gscience.org::9c04e4df-bf19-45a0-bfc3-e762bdb5b47c" providerId="AD"/>
  <person displayName="Alisha Kelim" id="{83932220-B51C-4A67-8411-B3BD33C5F9AF}" userId="S::alisha@gscience.org::38a1ca51-29a6-4fbf-b325-4f83215f0785" providerId="AD"/>
  <person displayName="Ashley Steckler" id="{7B0560AC-F6BE-4B4F-BD40-421528B5C86A}" userId="S::ashley@gscience.org::070f4e7d-efbe-4d84-b068-ef36887c177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5-01-14T22:00:37.06" personId="{7B0560AC-F6BE-4B4F-BD40-421528B5C86A}" id="{E3E599D8-B9D3-4BA9-B43F-CA54F9607D84}">
    <text>Metric includes the reporting week and 3 weeks ahead.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5-05-20T14:05:53.24" personId="{7B0560AC-F6BE-4B4F-BD40-421528B5C86A}" id="{57CAB7E6-EF72-4892-987D-ACD8907ACC4B}">
    <text>Counting camp</text>
  </threadedComment>
  <threadedComment ref="B7" dT="2025-05-20T14:01:56.07" personId="{7B0560AC-F6BE-4B4F-BD40-421528B5C86A}" id="{429575A8-B5F9-4F93-A348-A2C0D3E019E1}">
    <text>Workshops
PDH
Onsite community events
Adult programming
Camps (not summer) and Clubs 
Ribbon cuttings, etc.</text>
  </threadedComment>
  <threadedComment ref="C7" dT="2025-05-20T14:03:55.43" personId="{7B0560AC-F6BE-4B4F-BD40-421528B5C86A}" id="{D36CDC76-D8DF-4A0F-AC71-63EBDA81EDDE}">
    <text>Report the week plus 3</text>
  </threadedComment>
  <threadedComment ref="B9" dT="2025-05-20T14:09:24.40" personId="{7B0560AC-F6BE-4B4F-BD40-421528B5C86A}" id="{7FAD2F6D-F1EF-4398-B3F9-D8837385D94B}">
    <text>Janie, Ekaterina, David, Brooke, Dawn</text>
  </threadedComment>
  <threadedComment ref="C13" dT="2025-02-11T16:25:27.75" personId="{7B0560AC-F6BE-4B4F-BD40-421528B5C86A}" id="{7EB45680-21A0-4375-923D-29B307EAE7C4}">
    <text>Example: On 1/11, calculate last 30 days of students in 2025 AND in 2024. Determine percent difference between years.</text>
  </threadedComment>
  <threadedComment ref="C16" dT="2026-05-18T13:46:14.70" personId="{83932220-B51C-4A67-8411-B3BD33C5F9AF}" id="{530FAF92-09CF-4A6B-8934-17A3F25EED03}">
    <text>Community Partnerships in ProgrammingDate</text>
    <extLst>
      <x:ext xmlns:xltc2="http://schemas.microsoft.com/office/spreadsheetml/2020/threadedcomments2" uri="{F7C98A9C-CBB3-438F-8F68-D28B6AF4A901}">
        <xltc2:checksum>2017985891</xltc2:checksum>
        <xltc2:hyperlink startIndex="0" length="41" url="https://gatewaytoscience.sharepoint.com/:x:/g/IQCsOWSzdHY9QZtj17vX16QRAQl343-55gZ648qNY-grV2w?e=e3gWUi"/>
      </x:ext>
    </extLst>
  </threadedComment>
  <threadedComment ref="C17" dT="2026-05-18T13:54:09.63" personId="{83932220-B51C-4A67-8411-B3BD33C5F9AF}" id="{80D3672D-33E5-492B-A396-336CC1368F86}">
    <text>Book.xlsx</text>
    <extLst>
      <x:ext xmlns:xltc2="http://schemas.microsoft.com/office/spreadsheetml/2020/threadedcomments2" uri="{F7C98A9C-CBB3-438F-8F68-D28B6AF4A901}">
        <xltc2:checksum>3847570070</xltc2:checksum>
        <xltc2:hyperlink startIndex="0" length="9" url="https://gatewaytoscience.sharepoint.com/:x:/g/IQDW0bTsqAH6R45o61GTOWLzAZh9wpB1QDpUPapcFi7NjAw?e=pJTJfg"/>
      </x:ext>
    </extLst>
  </threadedComment>
  <threadedComment ref="D17" dT="2026-01-12T15:29:14.29" personId="{F2ADB3C8-F9C7-42B6-A31C-BE46FB3B7BAF}" id="{26BFA703-BCA4-4A58-82AC-4D2F3CA92F5F}">
    <text xml:space="preserve">Do we want to quantify this as event coming up in the span of 30 days or trailing 30 days? At the time of inquiry?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1" dT="2026-06-01T15:48:43.29" personId="{7B0560AC-F6BE-4B4F-BD40-421528B5C86A}" id="{244B2A68-8242-4D98-9E80-857B0D4BF262}">
    <text>Closed Sunday/Monday for Memorial Day</text>
  </threadedComment>
  <threadedComment ref="C14" dT="2024-08-20T19:18:57.60" personId="{7B0560AC-F6BE-4B4F-BD40-421528B5C86A}" id="{95412314-8161-4571-B6EE-5CED5CF307FF}">
    <text xml:space="preserve">How many times a user saw our website in search results. </text>
  </threadedComment>
  <threadedComment ref="D23" dT="2026-03-02T14:30:29.11" personId="{7B0560AC-F6BE-4B4F-BD40-421528B5C86A}" id="{76D04CBB-0ABC-41BF-A309-52A19F1832DC}">
    <text>Click Overview to see "Your last week in review"</text>
  </threadedComment>
  <threadedComment ref="Q24" dT="2026-07-27T14:15:19.01" personId="{44BF3987-40B3-4257-A8CA-407D6B293098}" id="{4CF25548-039C-44AF-A23F-2A5B41B8C687}">
    <text>First week measuring views instead of reach due to changes in how metrics are measured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tewaytoscience.lightning.force.com/lightning/r/Report/00O8V000009SthQUAS/view?queryScope=userFolder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pp.qbo.intuit.com/app/reportv2?token=AR_AGING&amp;show_logo=false&amp;date_macro=today&amp;report_date=05/06/2024&amp;showrows=active&amp;showcols=active&amp;edited_sections=false&#247;by1000=false&amp;hidecents=false&amp;exceptzeros=true&amp;negativenums=1&amp;negativered=false&amp;show_header_title=true&amp;show_header_range=true&amp;show_footer_custom_message=true&amp;show_footer_date=true&amp;show_footer_time=true&amp;header_alignment=Center&amp;footer_alignment=Center&amp;show_header_company=true&amp;company_name=Gateway%20to%20Science%20Center%2C%20Inc.&amp;collapse_subs=false&amp;footer_custom_message=&amp;aging_as_of=true&amp;aging_period=30&amp;num_periods=4" TargetMode="Externa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s11.admin.mailchimp.com/campaigns/" TargetMode="External"/><Relationship Id="rId13" Type="http://schemas.openxmlformats.org/officeDocument/2006/relationships/hyperlink" Target="https://gatewaytoscience.lightning.force.com/lightning/r/Report/00ORQ000001pbwD2AQ/view?queryScope=userFolders" TargetMode="External"/><Relationship Id="rId18" Type="http://schemas.openxmlformats.org/officeDocument/2006/relationships/vmlDrawing" Target="../drawings/vmlDrawing3.vml"/><Relationship Id="rId3" Type="http://schemas.openxmlformats.org/officeDocument/2006/relationships/hyperlink" Target="https://analytics.google.com/analytics/web/?pli=1&amp;authuser=1" TargetMode="External"/><Relationship Id="rId7" Type="http://schemas.openxmlformats.org/officeDocument/2006/relationships/hyperlink" Target="https://business.facebook.com/latest/insights/results?business_id=644498839224410&amp;asset_id=119419244822&amp;ad_account_id=6002213761050&amp;time_range=%257B%2522end%2522%253A%25222024-05-05%2522%252C%2522start%2522%253A%25222024-04-28%2522%257D&amp;entity_type=FB_PAGE&amp;audience_tab=trends" TargetMode="External"/><Relationship Id="rId12" Type="http://schemas.openxmlformats.org/officeDocument/2006/relationships/hyperlink" Target="https://gatewaytoscience.lightning.force.com/lightning/r/Report/00ORQ000003Mavy2AC/view?queryScope=userFolders" TargetMode="External"/><Relationship Id="rId17" Type="http://schemas.openxmlformats.org/officeDocument/2006/relationships/hyperlink" Target="https://business.facebook.com/latest/insights/results?business_id=644498839224410&amp;asset_id=119419244822&amp;ad_account_id=6002213761050&amp;time_range=%257B%2522end%2522%253A%25222024-05-05%2522%252C%2522start%2522%253A%25222024-04-28%2522%257D&amp;entity_type=FB_PAGE&amp;audience_tab=trends" TargetMode="External"/><Relationship Id="rId2" Type="http://schemas.openxmlformats.org/officeDocument/2006/relationships/hyperlink" Target="https://app.ahrefs.com/site-audit/7831971/overview" TargetMode="External"/><Relationship Id="rId16" Type="http://schemas.openxmlformats.org/officeDocument/2006/relationships/hyperlink" Target="https://analytics.google.com/analytics/web/?pli=1&amp;authuser=1" TargetMode="External"/><Relationship Id="rId20" Type="http://schemas.microsoft.com/office/2017/10/relationships/threadedComment" Target="../threadedComments/threadedComment3.xml"/><Relationship Id="rId1" Type="http://schemas.openxmlformats.org/officeDocument/2006/relationships/hyperlink" Target="https://search.google.com/u/1/search-console/performance/search-analytics?resource_id=https%3A%2F%2Fgatewaytoscience.org%2F&amp;query=!gateway%20to%20science&amp;num_of_days=7" TargetMode="External"/><Relationship Id="rId6" Type="http://schemas.openxmlformats.org/officeDocument/2006/relationships/hyperlink" Target="https://gatewaytoscience.lightning.force.com/lightning/r/Report/00ORQ000001ZMBZ2A4/view?queryScope=userFolders" TargetMode="External"/><Relationship Id="rId11" Type="http://schemas.openxmlformats.org/officeDocument/2006/relationships/hyperlink" Target="https://gatewaytoscience.lightning.force.com/lightning/r/Report/00O8V000009SthQUAS/view?queryScope=userFolders" TargetMode="External"/><Relationship Id="rId5" Type="http://schemas.openxmlformats.org/officeDocument/2006/relationships/hyperlink" Target="https://tagmanager.google.com/" TargetMode="External"/><Relationship Id="rId15" Type="http://schemas.openxmlformats.org/officeDocument/2006/relationships/hyperlink" Target="https://us11.admin.mailchimp.com/campaigns/" TargetMode="External"/><Relationship Id="rId10" Type="http://schemas.openxmlformats.org/officeDocument/2006/relationships/hyperlink" Target="https://analytics.google.com/analytics/web/?pli=1&amp;authuser=1" TargetMode="External"/><Relationship Id="rId19" Type="http://schemas.openxmlformats.org/officeDocument/2006/relationships/comments" Target="../comments3.xml"/><Relationship Id="rId4" Type="http://schemas.openxmlformats.org/officeDocument/2006/relationships/hyperlink" Target="https://analytics.google.com/analytics/web/?pli=1&amp;authuser=1" TargetMode="External"/><Relationship Id="rId9" Type="http://schemas.openxmlformats.org/officeDocument/2006/relationships/hyperlink" Target="https://gatewaytoscience.lightning.force.com/lightning/r/Report/00ORQ000001zfaL2AQ/view" TargetMode="External"/><Relationship Id="rId14" Type="http://schemas.openxmlformats.org/officeDocument/2006/relationships/hyperlink" Target="https://gatewaytoscience.lightning.force.com/lightning/r/Report/00ORQ000001ZMBZ2A4/view?queryScope=userFol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4"/>
  <sheetViews>
    <sheetView workbookViewId="0">
      <pane xSplit="7" ySplit="3" topLeftCell="H4" activePane="bottomRight" state="frozen"/>
      <selection pane="bottomRight" activeCell="H4" sqref="H4"/>
      <selection pane="bottomLeft" activeCell="A4" sqref="A4"/>
      <selection pane="topRight" activeCell="H1" sqref="H1"/>
    </sheetView>
  </sheetViews>
  <sheetFormatPr defaultColWidth="12.5703125" defaultRowHeight="15" customHeight="1"/>
  <cols>
    <col min="1" max="1" width="9.85546875" style="57" hidden="1" customWidth="1"/>
    <col min="2" max="2" width="18.140625" style="57" customWidth="1"/>
    <col min="3" max="3" width="21.7109375" style="57" customWidth="1"/>
    <col min="4" max="4" width="50.140625" style="57" customWidth="1"/>
    <col min="5" max="5" width="16.5703125" style="57" customWidth="1"/>
    <col min="6" max="6" width="10.42578125" style="57" customWidth="1"/>
    <col min="7" max="7" width="7.42578125" style="57" customWidth="1"/>
    <col min="8" max="20" width="10.85546875" style="57" customWidth="1"/>
    <col min="21" max="21" width="12.5703125" style="57"/>
    <col min="22" max="27" width="12.5703125" style="64"/>
    <col min="28" max="16384" width="12.5703125" style="57"/>
  </cols>
  <sheetData>
    <row r="1" spans="1:27" s="51" customFormat="1" ht="15.75" customHeight="1">
      <c r="A1" s="48"/>
      <c r="B1" s="49"/>
      <c r="C1" s="49"/>
      <c r="D1" s="50"/>
      <c r="E1" s="50"/>
      <c r="F1" s="49"/>
      <c r="G1" s="49"/>
      <c r="H1" s="49" t="s">
        <v>0</v>
      </c>
      <c r="I1" s="49" t="s">
        <v>1</v>
      </c>
      <c r="J1" s="49" t="s">
        <v>2</v>
      </c>
      <c r="K1" s="49" t="s">
        <v>3</v>
      </c>
      <c r="L1" s="49" t="s">
        <v>4</v>
      </c>
      <c r="M1" s="49" t="s">
        <v>5</v>
      </c>
      <c r="N1" s="49" t="s">
        <v>6</v>
      </c>
      <c r="O1" s="49" t="s">
        <v>7</v>
      </c>
      <c r="P1" s="49" t="s">
        <v>8</v>
      </c>
      <c r="Q1" s="50" t="s">
        <v>9</v>
      </c>
      <c r="R1" s="49" t="s">
        <v>10</v>
      </c>
      <c r="S1" s="49" t="s">
        <v>11</v>
      </c>
      <c r="T1" s="49" t="s">
        <v>12</v>
      </c>
      <c r="U1" s="49" t="s">
        <v>13</v>
      </c>
      <c r="V1" s="49" t="s">
        <v>14</v>
      </c>
      <c r="W1" s="49" t="s">
        <v>15</v>
      </c>
    </row>
    <row r="2" spans="1:27" s="51" customFormat="1" ht="15.75" customHeight="1">
      <c r="A2" s="157" t="s">
        <v>16</v>
      </c>
      <c r="B2" s="49" t="s">
        <v>17</v>
      </c>
      <c r="C2" s="49" t="s">
        <v>18</v>
      </c>
      <c r="D2" s="50" t="s">
        <v>19</v>
      </c>
      <c r="E2" s="50" t="s">
        <v>20</v>
      </c>
      <c r="F2" s="49" t="s">
        <v>21</v>
      </c>
      <c r="G2" s="49" t="s">
        <v>22</v>
      </c>
      <c r="H2" s="46">
        <v>46152</v>
      </c>
      <c r="I2" s="46">
        <f t="shared" ref="I2:U2" si="0">H3+1</f>
        <v>46159</v>
      </c>
      <c r="J2" s="46">
        <f t="shared" si="0"/>
        <v>46166</v>
      </c>
      <c r="K2" s="46">
        <f t="shared" si="0"/>
        <v>46173</v>
      </c>
      <c r="L2" s="46">
        <f t="shared" si="0"/>
        <v>46180</v>
      </c>
      <c r="M2" s="46">
        <f t="shared" si="0"/>
        <v>46187</v>
      </c>
      <c r="N2" s="46">
        <f t="shared" si="0"/>
        <v>46194</v>
      </c>
      <c r="O2" s="46">
        <f t="shared" si="0"/>
        <v>46201</v>
      </c>
      <c r="P2" s="46">
        <f t="shared" si="0"/>
        <v>46208</v>
      </c>
      <c r="Q2" s="46">
        <f t="shared" si="0"/>
        <v>46215</v>
      </c>
      <c r="R2" s="46">
        <f t="shared" si="0"/>
        <v>46222</v>
      </c>
      <c r="S2" s="46">
        <f t="shared" si="0"/>
        <v>46229</v>
      </c>
      <c r="T2" s="46">
        <f t="shared" si="0"/>
        <v>46236</v>
      </c>
      <c r="U2" s="46">
        <f t="shared" si="0"/>
        <v>46243</v>
      </c>
      <c r="V2" s="46">
        <f t="shared" ref="V2" si="1">U3+1</f>
        <v>46250</v>
      </c>
      <c r="W2" s="46">
        <f t="shared" ref="W2" si="2">V3+1</f>
        <v>46257</v>
      </c>
    </row>
    <row r="3" spans="1:27" s="54" customFormat="1" ht="15.75" customHeight="1">
      <c r="A3" s="158"/>
      <c r="B3" s="52"/>
      <c r="C3" s="52"/>
      <c r="D3" s="53"/>
      <c r="E3" s="53"/>
      <c r="F3" s="52"/>
      <c r="G3" s="52"/>
      <c r="H3" s="47">
        <v>46158</v>
      </c>
      <c r="I3" s="47">
        <f t="shared" ref="I3:T3" si="3">I2+6</f>
        <v>46165</v>
      </c>
      <c r="J3" s="47">
        <f t="shared" si="3"/>
        <v>46172</v>
      </c>
      <c r="K3" s="47">
        <f t="shared" si="3"/>
        <v>46179</v>
      </c>
      <c r="L3" s="47">
        <f t="shared" si="3"/>
        <v>46186</v>
      </c>
      <c r="M3" s="47">
        <f t="shared" si="3"/>
        <v>46193</v>
      </c>
      <c r="N3" s="47">
        <f t="shared" si="3"/>
        <v>46200</v>
      </c>
      <c r="O3" s="47">
        <f t="shared" si="3"/>
        <v>46207</v>
      </c>
      <c r="P3" s="47">
        <f t="shared" si="3"/>
        <v>46214</v>
      </c>
      <c r="Q3" s="47">
        <f t="shared" si="3"/>
        <v>46221</v>
      </c>
      <c r="R3" s="47">
        <f t="shared" si="3"/>
        <v>46228</v>
      </c>
      <c r="S3" s="47">
        <f t="shared" si="3"/>
        <v>46235</v>
      </c>
      <c r="T3" s="47">
        <f t="shared" si="3"/>
        <v>46242</v>
      </c>
      <c r="U3" s="47">
        <f t="shared" ref="U3:V3" si="4">U2+6</f>
        <v>46249</v>
      </c>
      <c r="V3" s="47">
        <f t="shared" si="4"/>
        <v>46256</v>
      </c>
      <c r="W3" s="47">
        <f t="shared" ref="W3:X3" si="5">W2+6</f>
        <v>46263</v>
      </c>
    </row>
    <row r="4" spans="1:27" ht="15.75" customHeight="1">
      <c r="A4" s="59" t="s">
        <v>23</v>
      </c>
      <c r="B4" s="81" t="s">
        <v>23</v>
      </c>
      <c r="C4" s="81" t="s">
        <v>24</v>
      </c>
      <c r="D4" s="81" t="s">
        <v>25</v>
      </c>
      <c r="E4" s="81" t="s">
        <v>26</v>
      </c>
      <c r="F4" s="81" cm="1">
        <f t="array" ref="F4:AA4">Ops!E4:Z4</f>
        <v>3000</v>
      </c>
      <c r="G4" s="81">
        <v>0</v>
      </c>
      <c r="H4" s="64">
        <v>2000</v>
      </c>
      <c r="I4" s="64">
        <v>2000</v>
      </c>
      <c r="J4" s="64">
        <v>6080</v>
      </c>
      <c r="K4" s="64">
        <v>7028.64</v>
      </c>
      <c r="L4" s="64">
        <v>2948.64</v>
      </c>
      <c r="M4" s="64">
        <v>2948.64</v>
      </c>
      <c r="N4" s="64">
        <v>7094</v>
      </c>
      <c r="O4" s="64">
        <v>2948.64</v>
      </c>
      <c r="P4" s="64">
        <v>2948.64</v>
      </c>
      <c r="Q4" s="65">
        <v>2948.64</v>
      </c>
      <c r="R4" s="64">
        <v>2948.64</v>
      </c>
      <c r="S4" s="64">
        <v>2948.64</v>
      </c>
      <c r="T4" s="64">
        <v>2000</v>
      </c>
      <c r="U4" s="64">
        <v>2000</v>
      </c>
      <c r="V4" s="64">
        <v>2000</v>
      </c>
      <c r="W4" s="64">
        <v>2000</v>
      </c>
      <c r="X4" s="64">
        <v>0</v>
      </c>
      <c r="Y4" s="64">
        <v>0</v>
      </c>
      <c r="Z4" s="64">
        <v>0</v>
      </c>
      <c r="AA4" s="64">
        <v>0</v>
      </c>
    </row>
    <row r="5" spans="1:27" ht="15.75" customHeight="1">
      <c r="A5" s="63"/>
      <c r="B5" s="81" t="s">
        <v>23</v>
      </c>
      <c r="C5" s="81" t="s">
        <v>27</v>
      </c>
      <c r="D5" s="81" t="s">
        <v>28</v>
      </c>
      <c r="E5" s="81" t="s">
        <v>29</v>
      </c>
      <c r="F5" s="82" t="e" cm="1">
        <f t="array" ref="F5">Ops!#REF!</f>
        <v>#REF!</v>
      </c>
      <c r="G5" s="82"/>
      <c r="Q5" s="58"/>
      <c r="V5" s="57"/>
    </row>
    <row r="6" spans="1:27" s="86" customFormat="1" ht="15.75" customHeight="1">
      <c r="A6" s="83" t="s">
        <v>30</v>
      </c>
      <c r="B6" s="84" t="s">
        <v>23</v>
      </c>
      <c r="C6" s="84" t="s">
        <v>31</v>
      </c>
      <c r="D6" s="84" t="s">
        <v>32</v>
      </c>
      <c r="E6" s="84" t="s">
        <v>33</v>
      </c>
      <c r="F6" s="85" cm="1">
        <f t="array" ref="F6:AA6">Ops!E6:Z6</f>
        <v>750</v>
      </c>
      <c r="G6" s="85">
        <v>2000</v>
      </c>
      <c r="H6" s="86">
        <v>1060</v>
      </c>
      <c r="I6" s="86">
        <v>990</v>
      </c>
      <c r="J6" s="86">
        <v>1040</v>
      </c>
      <c r="K6" s="86">
        <v>1925</v>
      </c>
      <c r="L6" s="86">
        <v>3586</v>
      </c>
      <c r="M6" s="86">
        <v>3063</v>
      </c>
      <c r="N6" s="86">
        <v>2235</v>
      </c>
      <c r="O6" s="86">
        <v>950</v>
      </c>
      <c r="P6" s="86">
        <v>900</v>
      </c>
      <c r="Q6" s="87">
        <v>1160</v>
      </c>
      <c r="R6" s="86">
        <v>1078</v>
      </c>
      <c r="S6" s="86">
        <v>1344</v>
      </c>
      <c r="T6" s="86">
        <v>758</v>
      </c>
      <c r="U6" s="86">
        <v>900</v>
      </c>
      <c r="V6" s="86">
        <v>970</v>
      </c>
      <c r="W6" s="111">
        <v>862</v>
      </c>
      <c r="X6" s="111">
        <v>0</v>
      </c>
      <c r="Y6" s="111">
        <v>0</v>
      </c>
      <c r="Z6" s="111">
        <v>0</v>
      </c>
      <c r="AA6" s="111">
        <v>0</v>
      </c>
    </row>
    <row r="7" spans="1:27" s="55" customFormat="1" ht="15.75" customHeight="1">
      <c r="A7" s="88"/>
      <c r="B7" s="89" t="s">
        <v>34</v>
      </c>
      <c r="C7" s="89" t="s">
        <v>35</v>
      </c>
      <c r="D7" s="90" t="s">
        <v>36</v>
      </c>
      <c r="E7" s="91" t="s">
        <v>37</v>
      </c>
      <c r="F7" s="92" cm="1">
        <f t="array" ref="F7:Y7">Education!E4:X4</f>
        <v>0</v>
      </c>
      <c r="G7" s="92">
        <v>0.08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6">
        <v>0</v>
      </c>
      <c r="R7" s="55">
        <v>0</v>
      </c>
      <c r="S7" s="55">
        <v>0</v>
      </c>
      <c r="T7" s="55">
        <v>0</v>
      </c>
      <c r="U7" s="55">
        <v>0</v>
      </c>
      <c r="V7" s="55">
        <v>0</v>
      </c>
      <c r="W7" s="112">
        <v>0</v>
      </c>
      <c r="X7" s="112">
        <v>0</v>
      </c>
      <c r="Y7" s="112">
        <v>0</v>
      </c>
      <c r="Z7" s="112"/>
      <c r="AA7" s="112"/>
    </row>
    <row r="8" spans="1:27" s="86" customFormat="1" ht="15.75" customHeight="1">
      <c r="A8" s="93" t="s">
        <v>38</v>
      </c>
      <c r="B8" s="94" t="s">
        <v>34</v>
      </c>
      <c r="C8" s="94" t="s">
        <v>39</v>
      </c>
      <c r="D8" s="95" t="s">
        <v>40</v>
      </c>
      <c r="E8" s="96" t="s">
        <v>41</v>
      </c>
      <c r="F8" s="97" t="str" cm="1">
        <f t="array" ref="F8:Y8">Education!E13:X13</f>
        <v>0%</v>
      </c>
      <c r="G8" s="97" t="str">
        <v>12%</v>
      </c>
      <c r="H8" s="86">
        <v>-0.28567996155694375</v>
      </c>
      <c r="I8" s="86">
        <v>-0.32226603029674206</v>
      </c>
      <c r="J8" s="86">
        <v>-0.4</v>
      </c>
      <c r="K8" s="86">
        <v>-0.22</v>
      </c>
      <c r="L8" s="86">
        <v>0.16</v>
      </c>
      <c r="M8" s="86">
        <v>0.23</v>
      </c>
      <c r="N8" s="86">
        <v>-0.59</v>
      </c>
      <c r="O8" s="86">
        <v>-0.18</v>
      </c>
      <c r="P8" s="86">
        <v>-0.41</v>
      </c>
      <c r="Q8" s="87">
        <v>-0.48</v>
      </c>
      <c r="R8" s="86">
        <v>-0.75</v>
      </c>
      <c r="S8" s="86">
        <v>-0.71</v>
      </c>
      <c r="T8" s="86">
        <v>-0.84</v>
      </c>
      <c r="U8" s="86">
        <v>-0.8</v>
      </c>
      <c r="V8" s="86">
        <v>-0.96</v>
      </c>
      <c r="W8" s="111">
        <v>-0.79</v>
      </c>
      <c r="X8" s="111">
        <v>0</v>
      </c>
      <c r="Y8" s="111">
        <v>0</v>
      </c>
      <c r="Z8" s="111"/>
      <c r="AA8" s="111"/>
    </row>
    <row r="9" spans="1:27" s="55" customFormat="1" ht="15.75" customHeight="1">
      <c r="A9" s="98" t="s">
        <v>42</v>
      </c>
      <c r="B9" s="98" t="s">
        <v>43</v>
      </c>
      <c r="C9" s="98" t="s">
        <v>44</v>
      </c>
      <c r="D9" s="99" t="s">
        <v>45</v>
      </c>
      <c r="E9" s="100" t="s">
        <v>46</v>
      </c>
      <c r="F9" s="101" cm="1">
        <f t="array" ref="F9:U9">'Public Engagement'!E24:T24</f>
        <v>10000</v>
      </c>
      <c r="G9" s="101">
        <v>18000</v>
      </c>
      <c r="H9" s="55">
        <v>16600</v>
      </c>
      <c r="I9" s="55">
        <v>9400</v>
      </c>
      <c r="J9" s="55">
        <v>15600</v>
      </c>
      <c r="K9" s="55">
        <v>10000</v>
      </c>
      <c r="L9" s="55">
        <v>11400</v>
      </c>
      <c r="M9" s="55">
        <v>9800</v>
      </c>
      <c r="N9" s="55">
        <v>16200</v>
      </c>
      <c r="O9" s="55">
        <v>11400</v>
      </c>
      <c r="P9" s="55">
        <v>7400</v>
      </c>
      <c r="Q9" s="56">
        <v>6500</v>
      </c>
      <c r="R9" s="55">
        <v>36900</v>
      </c>
      <c r="S9" s="55">
        <v>15900</v>
      </c>
      <c r="T9" s="55">
        <v>16700</v>
      </c>
      <c r="U9" s="55">
        <v>18800</v>
      </c>
      <c r="W9" s="112"/>
      <c r="X9" s="112"/>
      <c r="Y9" s="112"/>
      <c r="Z9" s="112"/>
      <c r="AA9" s="112"/>
    </row>
    <row r="10" spans="1:27" ht="15.75" customHeight="1">
      <c r="A10" s="61" t="s">
        <v>42</v>
      </c>
      <c r="B10" s="61" t="s">
        <v>43</v>
      </c>
      <c r="C10" s="61" t="s">
        <v>47</v>
      </c>
      <c r="D10" s="61" t="s">
        <v>48</v>
      </c>
      <c r="E10" s="61" t="s">
        <v>37</v>
      </c>
      <c r="F10" s="62" cm="1">
        <f t="array" ref="F10:U10">'Public Engagement'!E9:T9</f>
        <v>1000</v>
      </c>
      <c r="G10" s="62">
        <v>2000</v>
      </c>
      <c r="H10" s="57">
        <v>1508</v>
      </c>
      <c r="I10" s="57">
        <v>1779</v>
      </c>
      <c r="J10" s="57">
        <v>1050</v>
      </c>
      <c r="K10" s="57">
        <v>900</v>
      </c>
      <c r="L10" s="57">
        <v>1399</v>
      </c>
      <c r="M10" s="57">
        <v>1530</v>
      </c>
      <c r="N10" s="57">
        <v>1438</v>
      </c>
      <c r="O10" s="57">
        <v>1155</v>
      </c>
      <c r="P10" s="57">
        <v>1799</v>
      </c>
      <c r="Q10" s="58">
        <v>1955</v>
      </c>
      <c r="R10" s="57">
        <v>1459</v>
      </c>
      <c r="S10" s="57">
        <v>1758</v>
      </c>
      <c r="T10" s="57">
        <v>1737</v>
      </c>
      <c r="U10" s="57">
        <v>1850</v>
      </c>
      <c r="V10" s="57"/>
    </row>
    <row r="11" spans="1:27" ht="15.75" customHeight="1">
      <c r="A11" s="60" t="s">
        <v>49</v>
      </c>
      <c r="B11" s="61" t="s">
        <v>43</v>
      </c>
      <c r="C11" s="61" t="s">
        <v>50</v>
      </c>
      <c r="D11" s="61" t="s">
        <v>51</v>
      </c>
      <c r="E11" s="61" t="s">
        <v>37</v>
      </c>
      <c r="F11" s="62" cm="1">
        <f t="array" ref="F11:U11">'Public Engagement'!E5:T5</f>
        <v>1700</v>
      </c>
      <c r="G11" s="62">
        <v>1800</v>
      </c>
      <c r="H11" s="57">
        <v>1722</v>
      </c>
      <c r="I11" s="57">
        <v>1750</v>
      </c>
      <c r="J11" s="57">
        <v>1665</v>
      </c>
      <c r="K11" s="57">
        <v>1696</v>
      </c>
      <c r="L11" s="57">
        <v>1732</v>
      </c>
      <c r="M11" s="57">
        <v>1761</v>
      </c>
      <c r="N11" s="57">
        <v>1794</v>
      </c>
      <c r="O11" s="57">
        <v>1755</v>
      </c>
      <c r="P11" s="57">
        <v>1758</v>
      </c>
      <c r="Q11" s="58">
        <v>1772</v>
      </c>
      <c r="R11" s="57">
        <v>1782</v>
      </c>
      <c r="S11" s="57">
        <v>1670</v>
      </c>
      <c r="T11" s="57">
        <v>1692</v>
      </c>
      <c r="U11" s="57">
        <v>1727</v>
      </c>
      <c r="V11" s="57"/>
    </row>
    <row r="12" spans="1:27" ht="15.75" customHeight="1">
      <c r="Q12" s="58"/>
    </row>
    <row r="13" spans="1:27" ht="15.75" customHeight="1"/>
    <row r="14" spans="1:27" ht="15.75" customHeight="1">
      <c r="B14" s="57" t="s">
        <v>52</v>
      </c>
    </row>
    <row r="15" spans="1:27" ht="15.75" customHeight="1"/>
    <row r="16" spans="1:27" ht="15.75" customHeight="1"/>
    <row r="17" spans="3:3" ht="15.75" customHeight="1">
      <c r="C17" s="79"/>
    </row>
    <row r="18" spans="3:3" ht="15.75" customHeight="1"/>
    <row r="19" spans="3:3" ht="15.75" customHeight="1"/>
    <row r="20" spans="3:3" ht="15.75" customHeight="1"/>
    <row r="21" spans="3:3" ht="15.75" customHeight="1"/>
    <row r="22" spans="3:3" ht="15.75" customHeight="1"/>
    <row r="23" spans="3:3" ht="15.75" customHeight="1"/>
    <row r="24" spans="3:3" ht="15.75" customHeight="1"/>
    <row r="25" spans="3:3" ht="15.75" customHeight="1"/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2:A3"/>
  </mergeCells>
  <conditionalFormatting sqref="H4:AA4">
    <cfRule type="cellIs" dxfId="130" priority="7" operator="greaterThan">
      <formula>5000</formula>
    </cfRule>
    <cfRule type="cellIs" dxfId="129" priority="9" operator="between">
      <formula>1</formula>
      <formula>4999</formula>
    </cfRule>
  </conditionalFormatting>
  <conditionalFormatting sqref="H4:AA5">
    <cfRule type="cellIs" dxfId="128" priority="8" operator="equal">
      <formula>0</formula>
    </cfRule>
  </conditionalFormatting>
  <conditionalFormatting sqref="H4:AA11">
    <cfRule type="cellIs" dxfId="127" priority="1" operator="equal">
      <formula>0</formula>
    </cfRule>
  </conditionalFormatting>
  <conditionalFormatting sqref="H5:AA5">
    <cfRule type="cellIs" dxfId="126" priority="12" operator="between">
      <formula>1</formula>
      <formula>2</formula>
    </cfRule>
    <cfRule type="cellIs" dxfId="125" priority="13" operator="greaterThan">
      <formula>2</formula>
    </cfRule>
  </conditionalFormatting>
  <conditionalFormatting sqref="H6:AA6">
    <cfRule type="cellIs" dxfId="124" priority="15" operator="lessThan">
      <formula>100</formula>
    </cfRule>
    <cfRule type="cellIs" dxfId="123" priority="16" operator="between">
      <formula>100</formula>
      <formula>449</formula>
    </cfRule>
    <cfRule type="cellIs" dxfId="122" priority="17" operator="greaterThanOrEqual">
      <formula>450</formula>
    </cfRule>
  </conditionalFormatting>
  <conditionalFormatting sqref="H7:AA7">
    <cfRule type="cellIs" dxfId="121" priority="20" operator="between">
      <formula>0</formula>
      <formula>0.07</formula>
    </cfRule>
    <cfRule type="cellIs" dxfId="120" priority="21" operator="greaterThanOrEqual">
      <formula>0.08</formula>
    </cfRule>
  </conditionalFormatting>
  <conditionalFormatting sqref="H7:AA8">
    <cfRule type="cellIs" dxfId="119" priority="19" operator="lessThan">
      <formula>0</formula>
    </cfRule>
  </conditionalFormatting>
  <conditionalFormatting sqref="H8:AA8">
    <cfRule type="cellIs" dxfId="118" priority="24" operator="between">
      <formula>0</formula>
      <formula>0.11</formula>
    </cfRule>
    <cfRule type="cellIs" dxfId="117" priority="25" operator="greaterThanOrEqual">
      <formula>0.12</formula>
    </cfRule>
  </conditionalFormatting>
  <conditionalFormatting sqref="H9:AA9">
    <cfRule type="cellIs" dxfId="116" priority="27" operator="lessThan">
      <formula>6000</formula>
    </cfRule>
    <cfRule type="cellIs" dxfId="115" priority="28" operator="between">
      <formula>6000</formula>
      <formula>9999</formula>
    </cfRule>
    <cfRule type="cellIs" dxfId="114" priority="29" operator="greaterThanOrEqual">
      <formula>10000</formula>
    </cfRule>
  </conditionalFormatting>
  <conditionalFormatting sqref="H10:AA10">
    <cfRule type="cellIs" dxfId="113" priority="31" operator="lessThan">
      <formula>1000</formula>
    </cfRule>
    <cfRule type="cellIs" dxfId="112" priority="32" operator="between">
      <formula>1000</formula>
      <formula>1999</formula>
    </cfRule>
  </conditionalFormatting>
  <conditionalFormatting sqref="H10:AA11">
    <cfRule type="cellIs" dxfId="111" priority="33" operator="greaterThanOrEqual">
      <formula>1950</formula>
    </cfRule>
  </conditionalFormatting>
  <conditionalFormatting sqref="H11:AA11">
    <cfRule type="cellIs" dxfId="110" priority="35" operator="lessThan">
      <formula>1800</formula>
    </cfRule>
    <cfRule type="cellIs" dxfId="109" priority="36" operator="between">
      <formula>1800</formula>
      <formula>1949</formula>
    </cfRule>
  </conditionalFormatting>
  <hyperlinks>
    <hyperlink ref="E11" r:id="rId1" display="SalesForce" xr:uid="{0920A316-AEBF-4606-9510-762B2D0B2523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3"/>
  <sheetViews>
    <sheetView workbookViewId="0">
      <pane xSplit="6" topLeftCell="R1" activePane="topRight" state="frozen"/>
      <selection pane="topRight" activeCell="V9" sqref="V9"/>
    </sheetView>
  </sheetViews>
  <sheetFormatPr defaultColWidth="12.5703125" defaultRowHeight="15" customHeight="1"/>
  <cols>
    <col min="1" max="1" width="13.5703125" style="10" customWidth="1"/>
    <col min="2" max="2" width="30.28515625" style="10" customWidth="1"/>
    <col min="3" max="3" width="56.42578125" style="10" customWidth="1"/>
    <col min="4" max="4" width="16.28515625" style="10" customWidth="1"/>
    <col min="5" max="5" width="10.5703125" style="10" customWidth="1"/>
    <col min="6" max="6" width="11.42578125" style="10" bestFit="1" customWidth="1"/>
    <col min="7" max="19" width="12.85546875" style="10" customWidth="1"/>
    <col min="20" max="20" width="12.5703125" style="10"/>
    <col min="21" max="26" width="12.5703125" style="114"/>
    <col min="27" max="16384" width="12.5703125" style="10"/>
  </cols>
  <sheetData>
    <row r="1" spans="1:26" customFormat="1" ht="15.75" customHeight="1">
      <c r="A1" s="1"/>
      <c r="B1" s="2"/>
      <c r="C1" s="3"/>
      <c r="D1" s="3"/>
      <c r="E1" s="2"/>
      <c r="F1" s="2"/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3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</row>
    <row r="2" spans="1:26" customFormat="1" ht="15.75" customHeight="1">
      <c r="A2" s="14" t="s">
        <v>16</v>
      </c>
      <c r="B2" s="2" t="s">
        <v>18</v>
      </c>
      <c r="C2" s="3" t="s">
        <v>19</v>
      </c>
      <c r="D2" s="3" t="s">
        <v>20</v>
      </c>
      <c r="E2" s="2" t="s">
        <v>21</v>
      </c>
      <c r="F2" s="2" t="s">
        <v>22</v>
      </c>
      <c r="G2" s="4">
        <v>46152</v>
      </c>
      <c r="H2" s="4">
        <f t="shared" ref="H2:T2" si="0">G3+1</f>
        <v>46159</v>
      </c>
      <c r="I2" s="4">
        <f t="shared" si="0"/>
        <v>46166</v>
      </c>
      <c r="J2" s="4">
        <f t="shared" si="0"/>
        <v>46173</v>
      </c>
      <c r="K2" s="4">
        <f t="shared" si="0"/>
        <v>46180</v>
      </c>
      <c r="L2" s="4">
        <f t="shared" si="0"/>
        <v>46187</v>
      </c>
      <c r="M2" s="4">
        <f t="shared" si="0"/>
        <v>46194</v>
      </c>
      <c r="N2" s="4">
        <f t="shared" si="0"/>
        <v>46201</v>
      </c>
      <c r="O2" s="4">
        <f t="shared" si="0"/>
        <v>46208</v>
      </c>
      <c r="P2" s="4">
        <f t="shared" si="0"/>
        <v>46215</v>
      </c>
      <c r="Q2" s="4">
        <f t="shared" si="0"/>
        <v>46222</v>
      </c>
      <c r="R2" s="4">
        <f t="shared" si="0"/>
        <v>46229</v>
      </c>
      <c r="S2" s="4">
        <f t="shared" si="0"/>
        <v>46236</v>
      </c>
      <c r="T2" s="4">
        <f t="shared" si="0"/>
        <v>46243</v>
      </c>
      <c r="U2" s="4">
        <f t="shared" ref="U2" si="1">T3+1</f>
        <v>46250</v>
      </c>
      <c r="V2" s="4">
        <f t="shared" ref="V2" si="2">U3+1</f>
        <v>46257</v>
      </c>
    </row>
    <row r="3" spans="1:26" s="8" customFormat="1" ht="15.75" customHeight="1">
      <c r="A3" s="15"/>
      <c r="B3" s="5"/>
      <c r="C3" s="6"/>
      <c r="D3" s="6"/>
      <c r="E3" s="5"/>
      <c r="F3" s="5"/>
      <c r="G3" s="7">
        <v>46158</v>
      </c>
      <c r="H3" s="7">
        <f t="shared" ref="H3:S3" si="3">H2+6</f>
        <v>46165</v>
      </c>
      <c r="I3" s="7">
        <f t="shared" si="3"/>
        <v>46172</v>
      </c>
      <c r="J3" s="7">
        <f t="shared" si="3"/>
        <v>46179</v>
      </c>
      <c r="K3" s="7">
        <f t="shared" si="3"/>
        <v>46186</v>
      </c>
      <c r="L3" s="7">
        <f t="shared" si="3"/>
        <v>46193</v>
      </c>
      <c r="M3" s="7">
        <f t="shared" si="3"/>
        <v>46200</v>
      </c>
      <c r="N3" s="7">
        <f t="shared" si="3"/>
        <v>46207</v>
      </c>
      <c r="O3" s="7">
        <f t="shared" si="3"/>
        <v>46214</v>
      </c>
      <c r="P3" s="7">
        <f t="shared" si="3"/>
        <v>46221</v>
      </c>
      <c r="Q3" s="7">
        <f t="shared" si="3"/>
        <v>46228</v>
      </c>
      <c r="R3" s="7">
        <f t="shared" si="3"/>
        <v>46235</v>
      </c>
      <c r="S3" s="7">
        <f t="shared" si="3"/>
        <v>46242</v>
      </c>
      <c r="T3" s="7">
        <f t="shared" ref="T3" si="4">T2+6</f>
        <v>46249</v>
      </c>
      <c r="U3" s="7">
        <f t="shared" ref="U3:W3" si="5">U2+6</f>
        <v>46256</v>
      </c>
      <c r="V3" s="7">
        <f t="shared" si="5"/>
        <v>46263</v>
      </c>
    </row>
    <row r="4" spans="1:26" ht="15.75" customHeight="1">
      <c r="A4" s="121" t="s">
        <v>53</v>
      </c>
      <c r="B4" s="122" t="s">
        <v>24</v>
      </c>
      <c r="C4" s="123" t="s">
        <v>54</v>
      </c>
      <c r="D4" s="124" t="s">
        <v>26</v>
      </c>
      <c r="E4" s="148">
        <v>3000</v>
      </c>
      <c r="F4" s="125">
        <v>0</v>
      </c>
      <c r="G4" s="113">
        <v>2000</v>
      </c>
      <c r="H4" s="139">
        <v>2000</v>
      </c>
      <c r="I4" s="139">
        <v>6080</v>
      </c>
      <c r="J4" s="139">
        <v>7028.64</v>
      </c>
      <c r="K4" s="139">
        <v>2948.64</v>
      </c>
      <c r="L4" s="139">
        <v>2948.64</v>
      </c>
      <c r="M4" s="139">
        <v>7094</v>
      </c>
      <c r="N4" s="139">
        <v>2948.64</v>
      </c>
      <c r="O4" s="103">
        <v>2948.64</v>
      </c>
      <c r="P4" s="103">
        <v>2948.64</v>
      </c>
      <c r="Q4" s="103">
        <v>2948.64</v>
      </c>
      <c r="R4" s="103">
        <v>2948.64</v>
      </c>
      <c r="S4" s="103">
        <v>2000</v>
      </c>
      <c r="T4" s="103">
        <v>2000</v>
      </c>
      <c r="U4" s="113">
        <v>2000</v>
      </c>
      <c r="V4" s="113">
        <v>2000</v>
      </c>
      <c r="W4" s="113"/>
      <c r="X4" s="113"/>
      <c r="Y4" s="113"/>
      <c r="Z4" s="113"/>
    </row>
    <row r="5" spans="1:26" ht="15.75" customHeight="1">
      <c r="A5" s="12" t="s">
        <v>30</v>
      </c>
      <c r="B5" s="13" t="s">
        <v>55</v>
      </c>
      <c r="C5" s="13" t="s">
        <v>56</v>
      </c>
      <c r="D5" s="13" t="s">
        <v>57</v>
      </c>
      <c r="E5" s="143">
        <v>10</v>
      </c>
      <c r="F5" s="143">
        <v>20</v>
      </c>
      <c r="G5" s="10">
        <v>12</v>
      </c>
      <c r="H5" s="10">
        <v>9</v>
      </c>
      <c r="I5" s="10">
        <v>10</v>
      </c>
      <c r="J5" s="9">
        <v>13</v>
      </c>
      <c r="K5" s="10">
        <v>16</v>
      </c>
      <c r="L5" s="10">
        <v>12</v>
      </c>
      <c r="M5" s="10">
        <v>11</v>
      </c>
      <c r="N5" s="10">
        <v>6</v>
      </c>
      <c r="O5" s="10">
        <v>5</v>
      </c>
      <c r="P5" s="10">
        <v>7</v>
      </c>
      <c r="Q5" s="10">
        <v>9</v>
      </c>
      <c r="R5" s="10">
        <v>8</v>
      </c>
      <c r="S5" s="10">
        <v>8</v>
      </c>
      <c r="T5" s="10">
        <v>9</v>
      </c>
      <c r="U5" s="114">
        <v>14</v>
      </c>
      <c r="V5" s="114">
        <v>10</v>
      </c>
    </row>
    <row r="6" spans="1:26" ht="15.75" customHeight="1">
      <c r="A6" s="12" t="s">
        <v>30</v>
      </c>
      <c r="B6" s="13" t="s">
        <v>31</v>
      </c>
      <c r="C6" s="13" t="s">
        <v>32</v>
      </c>
      <c r="D6" s="13" t="s">
        <v>33</v>
      </c>
      <c r="E6" s="142">
        <v>750</v>
      </c>
      <c r="F6" s="142">
        <v>2000</v>
      </c>
      <c r="G6" s="149">
        <v>1060</v>
      </c>
      <c r="H6" s="102">
        <v>990</v>
      </c>
      <c r="I6" s="102">
        <v>1040</v>
      </c>
      <c r="J6" s="102">
        <v>1925</v>
      </c>
      <c r="K6" s="102">
        <v>3586</v>
      </c>
      <c r="L6" s="102">
        <v>3063</v>
      </c>
      <c r="M6" s="102">
        <v>2235</v>
      </c>
      <c r="N6" s="10">
        <v>950</v>
      </c>
      <c r="O6" s="10">
        <v>900</v>
      </c>
      <c r="P6" s="102">
        <v>1160</v>
      </c>
      <c r="Q6" s="102">
        <v>1078</v>
      </c>
      <c r="R6" s="102">
        <v>1344</v>
      </c>
      <c r="S6" s="102">
        <v>758</v>
      </c>
      <c r="T6" s="102">
        <v>900</v>
      </c>
      <c r="U6" s="141">
        <v>970</v>
      </c>
      <c r="V6" s="141">
        <v>862</v>
      </c>
      <c r="W6" s="141"/>
      <c r="X6" s="141"/>
    </row>
    <row r="7" spans="1:26" ht="15.75" customHeight="1">
      <c r="A7" s="12" t="s">
        <v>30</v>
      </c>
      <c r="B7" s="13" t="s">
        <v>58</v>
      </c>
      <c r="C7" s="13" t="s">
        <v>59</v>
      </c>
      <c r="D7" s="13" t="s">
        <v>60</v>
      </c>
      <c r="E7" s="142">
        <v>3</v>
      </c>
      <c r="F7" s="142">
        <v>6</v>
      </c>
      <c r="G7" s="107">
        <v>1</v>
      </c>
      <c r="H7" s="10">
        <v>3</v>
      </c>
      <c r="I7" s="10">
        <v>2</v>
      </c>
      <c r="J7" s="10">
        <v>4</v>
      </c>
      <c r="K7" s="10">
        <v>3</v>
      </c>
      <c r="L7" s="10">
        <v>2</v>
      </c>
      <c r="M7" s="10">
        <v>2</v>
      </c>
      <c r="N7" s="10">
        <v>4</v>
      </c>
      <c r="O7" s="10">
        <v>3</v>
      </c>
      <c r="P7" s="10">
        <v>3</v>
      </c>
      <c r="Q7" s="10">
        <v>2</v>
      </c>
      <c r="R7" s="10">
        <v>0</v>
      </c>
      <c r="S7" s="10">
        <v>0</v>
      </c>
      <c r="T7" s="10">
        <v>0</v>
      </c>
      <c r="U7" s="114">
        <v>0</v>
      </c>
      <c r="V7" s="114">
        <v>1</v>
      </c>
    </row>
    <row r="8" spans="1:26" ht="15.75" customHeight="1">
      <c r="A8" s="120" t="s">
        <v>61</v>
      </c>
      <c r="B8" s="120" t="s">
        <v>62</v>
      </c>
      <c r="C8" s="120" t="s">
        <v>63</v>
      </c>
      <c r="D8" s="120" t="s">
        <v>64</v>
      </c>
      <c r="E8" s="120">
        <v>6</v>
      </c>
      <c r="F8" s="120">
        <v>3</v>
      </c>
      <c r="G8" s="10">
        <v>5</v>
      </c>
      <c r="H8" s="10">
        <v>5</v>
      </c>
      <c r="I8" s="10">
        <v>5</v>
      </c>
      <c r="J8" s="9">
        <v>13</v>
      </c>
      <c r="K8" s="10">
        <v>12</v>
      </c>
      <c r="L8" s="10">
        <v>6</v>
      </c>
      <c r="M8" s="10">
        <v>1</v>
      </c>
      <c r="N8" s="10">
        <v>12</v>
      </c>
      <c r="O8" s="10">
        <v>3</v>
      </c>
      <c r="P8" s="10">
        <v>4</v>
      </c>
      <c r="Q8" s="10">
        <v>4</v>
      </c>
      <c r="R8" s="10">
        <v>5</v>
      </c>
      <c r="S8" s="10">
        <v>2</v>
      </c>
      <c r="T8" s="10">
        <v>6</v>
      </c>
      <c r="U8" s="10">
        <v>8</v>
      </c>
      <c r="V8" s="114">
        <v>3</v>
      </c>
    </row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G4">
    <cfRule type="containsText" dxfId="108" priority="1" operator="containsText" text="-">
      <formula>NOT(ISERROR(SEARCH("-",G4)))</formula>
    </cfRule>
    <cfRule type="containsBlanks" dxfId="107" priority="2">
      <formula>LEN(TRIM(G4))=0</formula>
    </cfRule>
    <cfRule type="containsBlanks" dxfId="106" priority="3">
      <formula>LEN(TRIM(G4))=0</formula>
    </cfRule>
    <cfRule type="cellIs" dxfId="105" priority="4" operator="equal">
      <formula>0</formula>
    </cfRule>
    <cfRule type="cellIs" dxfId="104" priority="5" operator="between">
      <formula>3000</formula>
      <formula>1</formula>
    </cfRule>
    <cfRule type="cellIs" dxfId="103" priority="6" operator="greaterThan">
      <formula>5000</formula>
    </cfRule>
  </conditionalFormatting>
  <conditionalFormatting sqref="G8:U8">
    <cfRule type="containsText" dxfId="102" priority="8" operator="containsText" text="-">
      <formula>NOT(ISERROR(SEARCH("-",G8)))</formula>
    </cfRule>
    <cfRule type="containsBlanks" dxfId="101" priority="9">
      <formula>LEN(TRIM(G8))=0</formula>
    </cfRule>
    <cfRule type="cellIs" dxfId="100" priority="10" operator="greaterThan">
      <formula>10</formula>
    </cfRule>
    <cfRule type="cellIs" dxfId="99" priority="11" operator="between">
      <formula>10</formula>
      <formula>6</formula>
    </cfRule>
    <cfRule type="cellIs" dxfId="98" priority="12" operator="lessThanOrEqual">
      <formula>5</formula>
    </cfRule>
  </conditionalFormatting>
  <conditionalFormatting sqref="G5:Z5">
    <cfRule type="cellIs" dxfId="97" priority="43" operator="greaterThanOrEqual">
      <formula>20</formula>
    </cfRule>
    <cfRule type="cellIs" dxfId="96" priority="44" operator="between">
      <formula>11</formula>
      <formula>19</formula>
    </cfRule>
    <cfRule type="cellIs" dxfId="95" priority="45" operator="lessThan">
      <formula>10</formula>
    </cfRule>
  </conditionalFormatting>
  <conditionalFormatting sqref="G6:Z6">
    <cfRule type="cellIs" dxfId="94" priority="39" operator="lessThan">
      <formula>750</formula>
    </cfRule>
    <cfRule type="cellIs" dxfId="93" priority="40" operator="between">
      <formula>751</formula>
      <formula>1999</formula>
    </cfRule>
    <cfRule type="cellIs" dxfId="92" priority="41" operator="greaterThanOrEqual">
      <formula>2000</formula>
    </cfRule>
  </conditionalFormatting>
  <conditionalFormatting sqref="G7:Z7">
    <cfRule type="cellIs" dxfId="91" priority="18" operator="lessThan">
      <formula>3</formula>
    </cfRule>
    <cfRule type="cellIs" dxfId="90" priority="19" operator="between">
      <formula>3</formula>
      <formula>5</formula>
    </cfRule>
    <cfRule type="cellIs" dxfId="89" priority="20" operator="greaterThanOrEqual">
      <formula>6</formula>
    </cfRule>
  </conditionalFormatting>
  <conditionalFormatting sqref="H4:Z4 G5:Z7">
    <cfRule type="containsText" dxfId="88" priority="13" operator="containsText" text="-">
      <formula>NOT(ISERROR(SEARCH("-",G4)))</formula>
    </cfRule>
    <cfRule type="containsBlanks" dxfId="87" priority="14">
      <formula>LEN(TRIM(G4))=0</formula>
    </cfRule>
  </conditionalFormatting>
  <conditionalFormatting sqref="H4:Z4">
    <cfRule type="containsBlanks" dxfId="86" priority="60">
      <formula>LEN(TRIM(H4))=0</formula>
    </cfRule>
    <cfRule type="cellIs" dxfId="85" priority="61" operator="equal">
      <formula>0</formula>
    </cfRule>
    <cfRule type="cellIs" dxfId="84" priority="62" operator="between">
      <formula>5000</formula>
      <formula>1</formula>
    </cfRule>
    <cfRule type="cellIs" dxfId="83" priority="63" operator="greaterThan">
      <formula>5000</formula>
    </cfRule>
  </conditionalFormatting>
  <hyperlinks>
    <hyperlink ref="D4" r:id="rId1" xr:uid="{A959040F-7969-4BDD-805B-8A305B422FC6}"/>
  </hyperlinks>
  <pageMargins left="0" right="0" top="0" bottom="0" header="0" footer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1002"/>
  <sheetViews>
    <sheetView tabSelected="1" topLeftCell="G1" workbookViewId="0">
      <selection activeCell="W11" sqref="W11"/>
    </sheetView>
  </sheetViews>
  <sheetFormatPr defaultColWidth="19.7109375" defaultRowHeight="15" customHeight="1"/>
  <cols>
    <col min="1" max="1" width="9.140625" style="10" customWidth="1"/>
    <col min="2" max="2" width="21.28515625" style="10" customWidth="1"/>
    <col min="3" max="3" width="69.7109375" style="10" customWidth="1"/>
    <col min="4" max="4" width="38.85546875" style="10" customWidth="1"/>
    <col min="5" max="5" width="11.28515625" style="10" customWidth="1"/>
    <col min="6" max="6" width="8.42578125" style="10" customWidth="1"/>
    <col min="7" max="11" width="10" style="10" customWidth="1"/>
    <col min="12" max="12" width="12.28515625" style="10" customWidth="1"/>
    <col min="13" max="20" width="10" style="10" customWidth="1"/>
    <col min="21" max="24" width="10" style="114" customWidth="1"/>
    <col min="25" max="16384" width="19.7109375" style="10"/>
  </cols>
  <sheetData>
    <row r="1" spans="1:37" customFormat="1" ht="15.75" customHeight="1">
      <c r="A1" s="1"/>
      <c r="B1" s="2"/>
      <c r="C1" s="3"/>
      <c r="D1" s="3"/>
      <c r="E1" s="2"/>
      <c r="F1" s="2"/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3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</row>
    <row r="2" spans="1:37" customFormat="1" ht="26.25" customHeight="1">
      <c r="A2" s="14" t="s">
        <v>16</v>
      </c>
      <c r="B2" s="2" t="s">
        <v>18</v>
      </c>
      <c r="C2" s="3" t="s">
        <v>19</v>
      </c>
      <c r="D2" s="3" t="s">
        <v>20</v>
      </c>
      <c r="E2" s="2" t="s">
        <v>21</v>
      </c>
      <c r="F2" s="2" t="s">
        <v>22</v>
      </c>
      <c r="G2" s="4">
        <v>46152</v>
      </c>
      <c r="H2" s="4">
        <f>G3+1</f>
        <v>46159</v>
      </c>
      <c r="I2" s="4">
        <f t="shared" ref="I2:S2" si="0">H3+1</f>
        <v>46166</v>
      </c>
      <c r="J2" s="4">
        <f t="shared" si="0"/>
        <v>46173</v>
      </c>
      <c r="K2" s="4">
        <f t="shared" si="0"/>
        <v>46180</v>
      </c>
      <c r="L2" s="4">
        <f t="shared" si="0"/>
        <v>46187</v>
      </c>
      <c r="M2" s="4">
        <f t="shared" si="0"/>
        <v>46194</v>
      </c>
      <c r="N2" s="4">
        <f t="shared" si="0"/>
        <v>46201</v>
      </c>
      <c r="O2" s="4">
        <f t="shared" si="0"/>
        <v>46208</v>
      </c>
      <c r="P2" s="4">
        <f t="shared" si="0"/>
        <v>46215</v>
      </c>
      <c r="Q2" s="4">
        <f t="shared" si="0"/>
        <v>46222</v>
      </c>
      <c r="R2" s="4">
        <f t="shared" si="0"/>
        <v>46229</v>
      </c>
      <c r="S2" s="4">
        <f t="shared" si="0"/>
        <v>46236</v>
      </c>
      <c r="T2" s="4">
        <f t="shared" ref="T2" si="1">S3+1</f>
        <v>46243</v>
      </c>
      <c r="U2" s="4">
        <f t="shared" ref="U2" si="2">T3+1</f>
        <v>46250</v>
      </c>
      <c r="V2" s="4">
        <f t="shared" ref="V2" si="3">U3+1</f>
        <v>46257</v>
      </c>
    </row>
    <row r="3" spans="1:37" s="8" customFormat="1" ht="15.75" customHeight="1">
      <c r="A3" s="15"/>
      <c r="B3" s="5"/>
      <c r="C3" s="6"/>
      <c r="D3" s="6"/>
      <c r="E3" s="5"/>
      <c r="F3" s="5"/>
      <c r="G3" s="7">
        <v>46158</v>
      </c>
      <c r="H3" s="7">
        <f t="shared" ref="H3:S3" si="4">H2+6</f>
        <v>46165</v>
      </c>
      <c r="I3" s="7">
        <f t="shared" si="4"/>
        <v>46172</v>
      </c>
      <c r="J3" s="7">
        <f t="shared" si="4"/>
        <v>46179</v>
      </c>
      <c r="K3" s="7">
        <f t="shared" si="4"/>
        <v>46186</v>
      </c>
      <c r="L3" s="7">
        <f t="shared" si="4"/>
        <v>46193</v>
      </c>
      <c r="M3" s="7">
        <f t="shared" si="4"/>
        <v>46200</v>
      </c>
      <c r="N3" s="7">
        <f t="shared" si="4"/>
        <v>46207</v>
      </c>
      <c r="O3" s="7">
        <f t="shared" si="4"/>
        <v>46214</v>
      </c>
      <c r="P3" s="7">
        <f t="shared" si="4"/>
        <v>46221</v>
      </c>
      <c r="Q3" s="7">
        <f t="shared" si="4"/>
        <v>46228</v>
      </c>
      <c r="R3" s="7">
        <f t="shared" si="4"/>
        <v>46235</v>
      </c>
      <c r="S3" s="7">
        <f t="shared" si="4"/>
        <v>46242</v>
      </c>
      <c r="T3" s="7">
        <f t="shared" ref="T3:U3" si="5">T2+6</f>
        <v>46249</v>
      </c>
      <c r="U3" s="7">
        <f t="shared" si="5"/>
        <v>46256</v>
      </c>
      <c r="V3" s="7">
        <f t="shared" ref="V3" si="6">V2+6</f>
        <v>46263</v>
      </c>
    </row>
    <row r="4" spans="1:37" s="9" customFormat="1" ht="27" hidden="1" customHeight="1">
      <c r="A4" s="27" t="s">
        <v>65</v>
      </c>
      <c r="B4" s="27" t="s">
        <v>66</v>
      </c>
      <c r="C4" s="28" t="s">
        <v>67</v>
      </c>
      <c r="D4" s="28" t="s">
        <v>41</v>
      </c>
      <c r="E4" s="108">
        <v>0</v>
      </c>
      <c r="F4" s="108">
        <v>0.08</v>
      </c>
      <c r="U4" s="115"/>
      <c r="V4" s="115"/>
      <c r="W4" s="115"/>
      <c r="X4" s="115"/>
    </row>
    <row r="5" spans="1:37" s="9" customFormat="1" ht="13.5" customHeight="1">
      <c r="A5" s="134" t="s">
        <v>68</v>
      </c>
      <c r="B5" s="135"/>
      <c r="C5" s="136"/>
      <c r="D5" s="136"/>
      <c r="E5" s="137"/>
      <c r="F5" s="137"/>
      <c r="U5" s="115"/>
      <c r="V5" s="115"/>
      <c r="W5" s="115"/>
      <c r="X5" s="115"/>
    </row>
    <row r="6" spans="1:37" s="9" customFormat="1" ht="12.75">
      <c r="A6" s="27" t="s">
        <v>65</v>
      </c>
      <c r="B6" s="27" t="s">
        <v>69</v>
      </c>
      <c r="C6" s="28" t="s">
        <v>70</v>
      </c>
      <c r="D6" s="28" t="s">
        <v>33</v>
      </c>
      <c r="E6" s="80">
        <v>125</v>
      </c>
      <c r="F6" s="80">
        <v>300</v>
      </c>
      <c r="G6" s="9">
        <v>306</v>
      </c>
      <c r="H6" s="9">
        <v>386</v>
      </c>
      <c r="I6" s="9">
        <v>306</v>
      </c>
      <c r="J6" s="9">
        <v>331</v>
      </c>
      <c r="K6" s="9">
        <v>364</v>
      </c>
      <c r="L6" s="9">
        <v>336</v>
      </c>
      <c r="M6" s="9">
        <v>167</v>
      </c>
      <c r="N6" s="9">
        <v>107</v>
      </c>
      <c r="O6" s="9">
        <v>125</v>
      </c>
      <c r="P6" s="9">
        <v>96</v>
      </c>
      <c r="Q6" s="9">
        <v>99</v>
      </c>
      <c r="R6" s="9">
        <v>73</v>
      </c>
      <c r="S6" s="9">
        <v>34</v>
      </c>
      <c r="T6" s="9">
        <v>132</v>
      </c>
      <c r="U6" s="9">
        <v>98</v>
      </c>
      <c r="V6" s="9">
        <v>108</v>
      </c>
      <c r="W6" s="115"/>
      <c r="X6" s="115"/>
    </row>
    <row r="7" spans="1:37" s="9" customFormat="1" ht="12.75">
      <c r="A7" s="27" t="s">
        <v>65</v>
      </c>
      <c r="B7" s="27" t="s">
        <v>66</v>
      </c>
      <c r="C7" s="28" t="s">
        <v>71</v>
      </c>
      <c r="D7" s="28" t="s">
        <v>72</v>
      </c>
      <c r="E7" s="119">
        <v>4</v>
      </c>
      <c r="F7" s="119">
        <v>8</v>
      </c>
      <c r="G7" s="117">
        <v>4</v>
      </c>
      <c r="H7" s="117">
        <v>3</v>
      </c>
      <c r="I7" s="117">
        <v>3</v>
      </c>
      <c r="J7" s="117">
        <v>3</v>
      </c>
      <c r="K7" s="117">
        <v>4</v>
      </c>
      <c r="L7" s="117">
        <v>3</v>
      </c>
      <c r="M7" s="117">
        <v>4</v>
      </c>
      <c r="N7" s="117">
        <v>4</v>
      </c>
      <c r="O7" s="117">
        <v>5</v>
      </c>
      <c r="P7" s="117">
        <v>4</v>
      </c>
      <c r="Q7" s="117">
        <v>4</v>
      </c>
      <c r="R7" s="117">
        <v>4</v>
      </c>
      <c r="S7" s="9">
        <v>5</v>
      </c>
      <c r="T7" s="9">
        <v>3</v>
      </c>
      <c r="U7" s="9">
        <v>4</v>
      </c>
      <c r="V7" s="9">
        <v>5</v>
      </c>
      <c r="W7" s="115"/>
      <c r="X7" s="115"/>
    </row>
    <row r="8" spans="1:37" s="9" customFormat="1" ht="12.75">
      <c r="A8" s="27"/>
      <c r="B8" s="27"/>
      <c r="C8" s="28"/>
      <c r="D8" s="28"/>
      <c r="E8" s="119"/>
      <c r="F8" s="119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5"/>
      <c r="X8" s="115"/>
    </row>
    <row r="9" spans="1:37" s="9" customFormat="1" ht="12.75">
      <c r="A9" s="27" t="s">
        <v>65</v>
      </c>
      <c r="B9" s="27" t="s">
        <v>73</v>
      </c>
      <c r="C9" s="28" t="s">
        <v>74</v>
      </c>
      <c r="D9" s="28" t="s">
        <v>64</v>
      </c>
      <c r="E9" s="80">
        <v>10</v>
      </c>
      <c r="F9" s="80">
        <v>6</v>
      </c>
      <c r="G9" s="9">
        <v>3</v>
      </c>
      <c r="H9" s="9">
        <v>0</v>
      </c>
      <c r="I9" s="9">
        <v>27</v>
      </c>
      <c r="J9" s="9">
        <v>16</v>
      </c>
      <c r="K9" s="9">
        <v>0</v>
      </c>
      <c r="L9" s="9">
        <v>5</v>
      </c>
      <c r="M9" s="9">
        <v>0</v>
      </c>
      <c r="O9" s="9">
        <v>3</v>
      </c>
      <c r="P9" s="9">
        <v>1</v>
      </c>
      <c r="Q9" s="9">
        <v>1</v>
      </c>
      <c r="R9" s="9">
        <v>0</v>
      </c>
      <c r="S9" s="9">
        <v>1</v>
      </c>
      <c r="T9" s="9">
        <v>2</v>
      </c>
      <c r="U9" s="115">
        <v>1</v>
      </c>
      <c r="V9" s="115"/>
      <c r="W9" s="115"/>
      <c r="X9" s="115"/>
    </row>
    <row r="10" spans="1:37" ht="12.75">
      <c r="A10" s="27" t="s">
        <v>65</v>
      </c>
      <c r="B10" s="27" t="s">
        <v>75</v>
      </c>
      <c r="C10" s="28" t="s">
        <v>76</v>
      </c>
      <c r="D10" s="28" t="s">
        <v>64</v>
      </c>
      <c r="E10" s="80" t="s">
        <v>77</v>
      </c>
      <c r="F10" s="80" t="s">
        <v>78</v>
      </c>
      <c r="G10" s="118">
        <v>0</v>
      </c>
      <c r="H10" s="45">
        <v>8</v>
      </c>
      <c r="I10" s="10">
        <v>19</v>
      </c>
      <c r="J10" s="10">
        <v>7</v>
      </c>
      <c r="K10" s="10">
        <v>7</v>
      </c>
      <c r="L10" s="10">
        <v>1</v>
      </c>
      <c r="M10" s="10">
        <v>1</v>
      </c>
      <c r="O10" s="10">
        <v>3</v>
      </c>
      <c r="P10" s="10">
        <v>4</v>
      </c>
      <c r="Q10" s="10">
        <v>2</v>
      </c>
      <c r="R10" s="10">
        <v>2</v>
      </c>
      <c r="S10" s="10">
        <v>3</v>
      </c>
      <c r="T10" s="10">
        <v>3</v>
      </c>
      <c r="U10" s="10">
        <v>4</v>
      </c>
      <c r="V10" s="10"/>
    </row>
    <row r="11" spans="1:37" ht="15.75" customHeight="1">
      <c r="A11" s="134" t="s">
        <v>79</v>
      </c>
      <c r="B11" s="135"/>
      <c r="C11" s="136"/>
      <c r="D11" s="136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</row>
    <row r="12" spans="1:37" ht="12.75">
      <c r="A12" s="127" t="s">
        <v>65</v>
      </c>
      <c r="B12" s="127" t="s">
        <v>80</v>
      </c>
      <c r="C12" s="127" t="s">
        <v>81</v>
      </c>
      <c r="D12" s="128" t="s">
        <v>82</v>
      </c>
      <c r="E12" s="129">
        <v>0.75</v>
      </c>
      <c r="F12" s="129">
        <v>1</v>
      </c>
      <c r="H12" s="42">
        <v>1</v>
      </c>
      <c r="I12" s="130">
        <v>1</v>
      </c>
      <c r="J12" s="131">
        <v>1</v>
      </c>
      <c r="K12" s="42">
        <v>0.85</v>
      </c>
      <c r="L12" s="42">
        <v>0.95</v>
      </c>
      <c r="M12" s="130">
        <v>1</v>
      </c>
      <c r="N12" s="42">
        <v>1</v>
      </c>
      <c r="O12" s="130">
        <v>1</v>
      </c>
      <c r="P12" s="116">
        <v>1</v>
      </c>
      <c r="Q12" s="131">
        <v>1</v>
      </c>
      <c r="R12" s="42">
        <v>1</v>
      </c>
      <c r="S12" s="42">
        <v>1</v>
      </c>
      <c r="T12" s="42">
        <v>1</v>
      </c>
      <c r="U12" s="42"/>
      <c r="V12" s="42"/>
    </row>
    <row r="13" spans="1:37" ht="12.75">
      <c r="A13" s="27" t="s">
        <v>83</v>
      </c>
      <c r="B13" s="27" t="s">
        <v>84</v>
      </c>
      <c r="C13" s="28" t="s">
        <v>85</v>
      </c>
      <c r="D13" s="28" t="s">
        <v>82</v>
      </c>
      <c r="E13" s="119" t="s">
        <v>86</v>
      </c>
      <c r="F13" s="119" t="s">
        <v>87</v>
      </c>
      <c r="G13" s="42">
        <f>((G14-G18)/G18)</f>
        <v>-0.28567996155694375</v>
      </c>
      <c r="H13" s="42">
        <f>((H14-H18)/H18)</f>
        <v>-0.32226603029674206</v>
      </c>
      <c r="I13" s="42">
        <v>-0.4</v>
      </c>
      <c r="J13" s="42">
        <v>-0.22</v>
      </c>
      <c r="K13" s="42">
        <v>0.16</v>
      </c>
      <c r="L13" s="42">
        <v>0.23</v>
      </c>
      <c r="M13" s="42">
        <v>-0.59</v>
      </c>
      <c r="N13" s="42">
        <v>-0.18</v>
      </c>
      <c r="O13" s="42">
        <v>-0.41</v>
      </c>
      <c r="P13" s="42">
        <v>-0.48</v>
      </c>
      <c r="Q13" s="42">
        <v>-0.75</v>
      </c>
      <c r="R13" s="42">
        <v>-0.71</v>
      </c>
      <c r="S13" s="42">
        <v>-0.84</v>
      </c>
      <c r="T13" s="42">
        <v>-0.8</v>
      </c>
      <c r="U13" s="42">
        <v>-0.96</v>
      </c>
      <c r="V13" s="42">
        <v>-0.79</v>
      </c>
      <c r="W13" s="116"/>
      <c r="X13" s="116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</row>
    <row r="14" spans="1:37" ht="12.75">
      <c r="A14" s="27" t="s">
        <v>83</v>
      </c>
      <c r="B14" s="27" t="s">
        <v>84</v>
      </c>
      <c r="C14" s="28" t="s">
        <v>88</v>
      </c>
      <c r="D14" s="28" t="s">
        <v>41</v>
      </c>
      <c r="E14" s="119" t="s">
        <v>89</v>
      </c>
      <c r="F14" s="119" t="s">
        <v>90</v>
      </c>
      <c r="G14" s="10">
        <v>2973</v>
      </c>
      <c r="H14" s="45">
        <v>3266</v>
      </c>
      <c r="I14" s="10">
        <v>2496</v>
      </c>
      <c r="J14" s="10">
        <v>2267</v>
      </c>
      <c r="K14" s="10">
        <v>1914</v>
      </c>
      <c r="L14" s="10">
        <v>2014</v>
      </c>
      <c r="M14" s="10">
        <v>1114</v>
      </c>
      <c r="N14" s="10">
        <v>1110</v>
      </c>
      <c r="O14" s="10">
        <v>633</v>
      </c>
      <c r="P14" s="10">
        <v>720</v>
      </c>
      <c r="Q14" s="10">
        <v>399</v>
      </c>
      <c r="R14" s="10">
        <v>591</v>
      </c>
      <c r="S14" s="10">
        <v>356</v>
      </c>
      <c r="T14" s="102">
        <v>334</v>
      </c>
      <c r="U14" s="114">
        <v>70</v>
      </c>
      <c r="V14" s="114">
        <v>181</v>
      </c>
    </row>
    <row r="15" spans="1:37" ht="16.5" customHeight="1">
      <c r="A15" s="134" t="s">
        <v>49</v>
      </c>
      <c r="B15" s="135"/>
      <c r="C15" s="136"/>
      <c r="D15" s="136"/>
      <c r="E15" s="138"/>
      <c r="F15" s="138"/>
      <c r="H15" s="45"/>
      <c r="T15" s="102"/>
    </row>
    <row r="16" spans="1:37" ht="12.75">
      <c r="A16" s="27" t="s">
        <v>83</v>
      </c>
      <c r="B16" s="27" t="s">
        <v>91</v>
      </c>
      <c r="C16" s="28" t="s">
        <v>92</v>
      </c>
      <c r="D16" s="28" t="s">
        <v>93</v>
      </c>
      <c r="E16" s="119" t="s">
        <v>94</v>
      </c>
      <c r="F16" s="119" t="s">
        <v>95</v>
      </c>
      <c r="G16" s="117">
        <v>4</v>
      </c>
      <c r="H16" s="117">
        <v>2</v>
      </c>
      <c r="I16" s="117">
        <v>0</v>
      </c>
      <c r="J16" s="117">
        <v>1</v>
      </c>
      <c r="K16" s="117">
        <v>1</v>
      </c>
      <c r="L16" s="117">
        <v>1</v>
      </c>
      <c r="M16" s="117">
        <v>0</v>
      </c>
      <c r="N16" s="117">
        <v>3</v>
      </c>
      <c r="O16" s="117">
        <v>0</v>
      </c>
      <c r="P16" s="117">
        <v>1</v>
      </c>
      <c r="Q16" s="117">
        <v>2</v>
      </c>
      <c r="R16" s="117">
        <v>0</v>
      </c>
      <c r="S16" s="9">
        <v>1</v>
      </c>
      <c r="T16" s="9">
        <v>0</v>
      </c>
      <c r="U16" s="9">
        <v>0</v>
      </c>
      <c r="V16" s="9">
        <v>1</v>
      </c>
    </row>
    <row r="17" spans="1:22" ht="18" customHeight="1">
      <c r="A17" s="144" t="s">
        <v>83</v>
      </c>
      <c r="B17" s="144" t="s">
        <v>96</v>
      </c>
      <c r="C17" s="145" t="s">
        <v>97</v>
      </c>
      <c r="D17" s="146"/>
      <c r="E17" s="147" t="s">
        <v>98</v>
      </c>
      <c r="F17" s="147" t="s">
        <v>99</v>
      </c>
      <c r="G17" s="10">
        <v>0</v>
      </c>
      <c r="H17" s="114">
        <v>0</v>
      </c>
      <c r="I17" s="10">
        <v>0</v>
      </c>
      <c r="J17" s="10">
        <v>1</v>
      </c>
      <c r="K17" s="10">
        <v>0</v>
      </c>
      <c r="L17" s="10">
        <v>0</v>
      </c>
      <c r="M17" s="10">
        <v>0</v>
      </c>
      <c r="N17" s="10">
        <v>1</v>
      </c>
      <c r="O17" s="153">
        <v>0</v>
      </c>
      <c r="P17" s="151">
        <v>2</v>
      </c>
      <c r="Q17" s="154">
        <v>2</v>
      </c>
      <c r="R17" s="10">
        <v>0</v>
      </c>
      <c r="S17" s="10">
        <v>0</v>
      </c>
      <c r="T17" s="10">
        <v>0</v>
      </c>
      <c r="U17" s="114">
        <v>0</v>
      </c>
      <c r="V17" s="114">
        <v>1</v>
      </c>
    </row>
    <row r="18" spans="1:22" ht="24" customHeight="1">
      <c r="C18" s="10" t="s">
        <v>100</v>
      </c>
      <c r="F18" s="110" t="s">
        <v>101</v>
      </c>
      <c r="G18" s="10">
        <v>4162</v>
      </c>
      <c r="H18" s="10">
        <v>4819</v>
      </c>
      <c r="I18" s="10">
        <v>4162</v>
      </c>
      <c r="J18" s="10">
        <v>2925</v>
      </c>
      <c r="K18" s="10">
        <v>1418</v>
      </c>
      <c r="L18" s="10">
        <v>1552</v>
      </c>
      <c r="M18" s="10">
        <v>1860</v>
      </c>
      <c r="N18" s="10">
        <v>1339</v>
      </c>
      <c r="O18" s="153">
        <v>1103</v>
      </c>
      <c r="P18" s="152">
        <v>1145</v>
      </c>
      <c r="Q18" s="154">
        <v>1622</v>
      </c>
      <c r="R18" s="10">
        <v>1889</v>
      </c>
      <c r="S18" s="10">
        <v>2171</v>
      </c>
      <c r="T18" s="126">
        <v>1649</v>
      </c>
      <c r="U18" s="114">
        <v>1191</v>
      </c>
      <c r="V18" s="114">
        <v>867</v>
      </c>
    </row>
    <row r="19" spans="1:22" ht="15.75" customHeight="1">
      <c r="K19" s="104"/>
      <c r="P19" s="9"/>
    </row>
    <row r="20" spans="1:22" ht="15.75" customHeight="1">
      <c r="K20" s="104"/>
    </row>
    <row r="21" spans="1:22" ht="15.75" customHeight="1">
      <c r="K21" s="104"/>
    </row>
    <row r="22" spans="1:22" ht="15.75" customHeight="1"/>
    <row r="23" spans="1:22" ht="15.75" customHeight="1"/>
    <row r="24" spans="1:22" ht="15.75" customHeight="1"/>
    <row r="25" spans="1:22" ht="15.75" customHeight="1"/>
    <row r="26" spans="1:22" ht="15.75" customHeight="1"/>
    <row r="27" spans="1:22" ht="15.75" customHeight="1"/>
    <row r="28" spans="1:22" ht="15.75" customHeight="1"/>
    <row r="29" spans="1:22" ht="15.75" customHeight="1"/>
    <row r="30" spans="1:22" ht="15.75" customHeight="1"/>
    <row r="31" spans="1:22" ht="15.75" customHeight="1"/>
    <row r="32" spans="1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G9:T12 U10:V12">
    <cfRule type="cellIs" dxfId="82" priority="6" operator="greaterThan">
      <formula>15</formula>
    </cfRule>
    <cfRule type="cellIs" dxfId="81" priority="18" operator="between">
      <formula>15</formula>
      <formula>7</formula>
    </cfRule>
  </conditionalFormatting>
  <conditionalFormatting sqref="G10:V12">
    <cfRule type="cellIs" dxfId="80" priority="9" operator="lessThan">
      <formula>6</formula>
    </cfRule>
    <cfRule type="cellIs" dxfId="79" priority="10" operator="between">
      <formula>12</formula>
      <formula>6</formula>
    </cfRule>
    <cfRule type="cellIs" dxfId="78" priority="11" operator="greaterThan">
      <formula>12</formula>
    </cfRule>
  </conditionalFormatting>
  <conditionalFormatting sqref="G16:T17 G12:V12">
    <cfRule type="cellIs" dxfId="77" priority="12" operator="lessThan">
      <formula>0</formula>
    </cfRule>
    <cfRule type="cellIs" dxfId="76" priority="13" operator="between">
      <formula>0.5</formula>
      <formula>0.99</formula>
    </cfRule>
    <cfRule type="cellIs" dxfId="75" priority="14" operator="greaterThan">
      <formula>1</formula>
    </cfRule>
  </conditionalFormatting>
  <conditionalFormatting sqref="G14:T15">
    <cfRule type="cellIs" dxfId="74" priority="26" operator="lessThan">
      <formula>300</formula>
    </cfRule>
    <cfRule type="cellIs" dxfId="73" priority="28" operator="greaterThan">
      <formula>600</formula>
    </cfRule>
  </conditionalFormatting>
  <conditionalFormatting sqref="G6:V6">
    <cfRule type="cellIs" dxfId="72" priority="4" operator="greaterThan">
      <formula>300</formula>
    </cfRule>
    <cfRule type="cellIs" dxfId="71" priority="5" operator="between">
      <formula>125</formula>
      <formula>300</formula>
    </cfRule>
  </conditionalFormatting>
  <conditionalFormatting sqref="G6:X12">
    <cfRule type="cellIs" dxfId="70" priority="19" operator="greaterThan">
      <formula>8</formula>
    </cfRule>
  </conditionalFormatting>
  <conditionalFormatting sqref="G14:V15 G16:K17 M16:V17 L18 W14:X17 G10:X12">
    <cfRule type="containsBlanks" dxfId="69" priority="21">
      <formula>LEN(TRIM(G10))=0</formula>
    </cfRule>
  </conditionalFormatting>
  <conditionalFormatting sqref="G14:X15">
    <cfRule type="cellIs" dxfId="68" priority="15" operator="between">
      <formula>300</formula>
      <formula>600</formula>
    </cfRule>
  </conditionalFormatting>
  <conditionalFormatting sqref="G13:AK13">
    <cfRule type="containsBlanks" dxfId="67" priority="20">
      <formula>LEN(TRIM(G13))=0</formula>
    </cfRule>
    <cfRule type="cellIs" dxfId="66" priority="22" operator="lessThan">
      <formula>0%</formula>
    </cfRule>
    <cfRule type="cellIs" dxfId="65" priority="23" operator="between">
      <formula>0%</formula>
      <formula>11%</formula>
    </cfRule>
    <cfRule type="cellIs" dxfId="64" priority="24" operator="greaterThanOrEqual">
      <formula>12%</formula>
    </cfRule>
  </conditionalFormatting>
  <conditionalFormatting sqref="G7:V8">
    <cfRule type="cellIs" dxfId="63" priority="8" operator="between">
      <formula>4</formula>
      <formula>8</formula>
    </cfRule>
  </conditionalFormatting>
  <conditionalFormatting sqref="G7:V7">
    <cfRule type="cellIs" dxfId="62" priority="7" operator="lessThan">
      <formula>4</formula>
    </cfRule>
  </conditionalFormatting>
  <conditionalFormatting sqref="G6:X17">
    <cfRule type="containsBlanks" dxfId="61" priority="16">
      <formula>LEN(TRIM(G6))=0</formula>
    </cfRule>
  </conditionalFormatting>
  <conditionalFormatting sqref="G16:V16">
    <cfRule type="cellIs" dxfId="60" priority="3" operator="greaterThan">
      <formula>9</formula>
    </cfRule>
  </conditionalFormatting>
  <conditionalFormatting sqref="G16:V16">
    <cfRule type="cellIs" dxfId="59" priority="2" operator="between">
      <formula>6</formula>
      <formula>9</formula>
    </cfRule>
  </conditionalFormatting>
  <conditionalFormatting sqref="G16:V16">
    <cfRule type="cellIs" dxfId="58" priority="1" operator="lessThan">
      <formula>6</formula>
    </cfRule>
  </conditionalFormatting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962"/>
  <sheetViews>
    <sheetView workbookViewId="0">
      <pane xSplit="6" topLeftCell="T1" activePane="topRight" state="frozen"/>
      <selection pane="topRight" activeCell="W15" sqref="W15"/>
      <selection activeCell="A4" sqref="A4"/>
    </sheetView>
  </sheetViews>
  <sheetFormatPr defaultColWidth="12.5703125" defaultRowHeight="15" customHeight="1"/>
  <cols>
    <col min="1" max="1" width="13.85546875" style="10" customWidth="1"/>
    <col min="2" max="2" width="31.7109375" style="10" customWidth="1"/>
    <col min="3" max="3" width="47" style="10" customWidth="1"/>
    <col min="4" max="4" width="10.7109375" style="10" customWidth="1"/>
    <col min="5" max="5" width="11" style="10" customWidth="1"/>
    <col min="6" max="6" width="7.7109375" style="10" customWidth="1"/>
    <col min="7" max="19" width="10.7109375" style="10" customWidth="1"/>
    <col min="20" max="16384" width="12.5703125" style="10"/>
  </cols>
  <sheetData>
    <row r="1" spans="1:22" customFormat="1" ht="15.75" customHeight="1">
      <c r="A1" s="1"/>
      <c r="B1" s="2"/>
      <c r="C1" s="3"/>
      <c r="D1" s="3"/>
      <c r="E1" s="2"/>
      <c r="F1" s="2"/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3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</row>
    <row r="2" spans="1:22" customFormat="1" ht="15.75" customHeight="1">
      <c r="A2" s="29" t="s">
        <v>16</v>
      </c>
      <c r="B2" s="2" t="s">
        <v>18</v>
      </c>
      <c r="C2" s="3" t="s">
        <v>19</v>
      </c>
      <c r="D2" s="3" t="s">
        <v>20</v>
      </c>
      <c r="E2" s="2" t="s">
        <v>21</v>
      </c>
      <c r="F2" s="2" t="s">
        <v>22</v>
      </c>
      <c r="G2" s="4">
        <v>46152</v>
      </c>
      <c r="H2" s="4">
        <f t="shared" ref="H2:U2" si="0">G3+1</f>
        <v>46159</v>
      </c>
      <c r="I2" s="4">
        <f t="shared" si="0"/>
        <v>46166</v>
      </c>
      <c r="J2" s="4">
        <f t="shared" si="0"/>
        <v>46173</v>
      </c>
      <c r="K2" s="4">
        <f t="shared" si="0"/>
        <v>46180</v>
      </c>
      <c r="L2" s="4">
        <f t="shared" si="0"/>
        <v>46187</v>
      </c>
      <c r="M2" s="4">
        <f t="shared" si="0"/>
        <v>46194</v>
      </c>
      <c r="N2" s="4">
        <f t="shared" si="0"/>
        <v>46201</v>
      </c>
      <c r="O2" s="4">
        <f t="shared" si="0"/>
        <v>46208</v>
      </c>
      <c r="P2" s="4">
        <f t="shared" si="0"/>
        <v>46215</v>
      </c>
      <c r="Q2" s="4">
        <f t="shared" si="0"/>
        <v>46222</v>
      </c>
      <c r="R2" s="4">
        <f t="shared" si="0"/>
        <v>46229</v>
      </c>
      <c r="S2" s="4">
        <f t="shared" si="0"/>
        <v>46236</v>
      </c>
      <c r="T2" s="4">
        <f t="shared" si="0"/>
        <v>46243</v>
      </c>
      <c r="U2" s="4">
        <f t="shared" si="0"/>
        <v>46250</v>
      </c>
      <c r="V2" s="4">
        <f t="shared" ref="V2" si="1">U3+1</f>
        <v>46257</v>
      </c>
    </row>
    <row r="3" spans="1:22" customFormat="1" ht="15.75" customHeight="1">
      <c r="A3" s="1"/>
      <c r="B3" s="2"/>
      <c r="C3" s="3"/>
      <c r="D3" s="3"/>
      <c r="E3" s="2"/>
      <c r="F3" s="2"/>
      <c r="G3" s="4">
        <v>46158</v>
      </c>
      <c r="H3" s="4">
        <f t="shared" ref="H3:S3" si="2">H2+6</f>
        <v>46165</v>
      </c>
      <c r="I3" s="4">
        <f t="shared" si="2"/>
        <v>46172</v>
      </c>
      <c r="J3" s="4">
        <f t="shared" si="2"/>
        <v>46179</v>
      </c>
      <c r="K3" s="4">
        <f t="shared" si="2"/>
        <v>46186</v>
      </c>
      <c r="L3" s="4">
        <f t="shared" si="2"/>
        <v>46193</v>
      </c>
      <c r="M3" s="4">
        <f t="shared" si="2"/>
        <v>46200</v>
      </c>
      <c r="N3" s="4">
        <f t="shared" si="2"/>
        <v>46207</v>
      </c>
      <c r="O3" s="4">
        <f t="shared" si="2"/>
        <v>46214</v>
      </c>
      <c r="P3" s="4">
        <f t="shared" si="2"/>
        <v>46221</v>
      </c>
      <c r="Q3" s="4">
        <f t="shared" si="2"/>
        <v>46228</v>
      </c>
      <c r="R3" s="4">
        <f t="shared" si="2"/>
        <v>46235</v>
      </c>
      <c r="S3" s="4">
        <f t="shared" si="2"/>
        <v>46242</v>
      </c>
      <c r="T3" s="4">
        <f t="shared" ref="T3:U3" si="3">T2+6</f>
        <v>46249</v>
      </c>
      <c r="U3" s="4">
        <f t="shared" si="3"/>
        <v>46256</v>
      </c>
      <c r="V3" s="4">
        <f t="shared" ref="V3" si="4">V2+6</f>
        <v>46263</v>
      </c>
    </row>
    <row r="4" spans="1:22" ht="15.75" customHeight="1">
      <c r="A4" s="22" t="s">
        <v>102</v>
      </c>
      <c r="B4" s="23"/>
      <c r="C4" s="2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5.75" customHeight="1">
      <c r="A5" s="37" t="s">
        <v>103</v>
      </c>
      <c r="B5" s="43" t="s">
        <v>104</v>
      </c>
      <c r="C5" s="37" t="s">
        <v>105</v>
      </c>
      <c r="D5" s="40" t="s">
        <v>33</v>
      </c>
      <c r="E5" s="109">
        <v>1700</v>
      </c>
      <c r="F5" s="109">
        <v>1800</v>
      </c>
      <c r="G5" s="10">
        <v>1722</v>
      </c>
      <c r="H5" s="10">
        <v>1750</v>
      </c>
      <c r="I5" s="10">
        <v>1665</v>
      </c>
      <c r="J5" s="10">
        <v>1696</v>
      </c>
      <c r="K5" s="10">
        <v>1732</v>
      </c>
      <c r="L5" s="10">
        <v>1761</v>
      </c>
      <c r="M5" s="10">
        <v>1794</v>
      </c>
      <c r="N5" s="10">
        <v>1755</v>
      </c>
      <c r="O5" s="10">
        <v>1758</v>
      </c>
      <c r="P5" s="10">
        <v>1772</v>
      </c>
      <c r="Q5" s="10">
        <v>1782</v>
      </c>
      <c r="R5" s="10">
        <v>1670</v>
      </c>
      <c r="S5" s="10">
        <v>1692</v>
      </c>
      <c r="T5" s="10">
        <v>1727</v>
      </c>
      <c r="U5" s="10">
        <v>1745</v>
      </c>
      <c r="V5" s="10">
        <v>1763</v>
      </c>
    </row>
    <row r="6" spans="1:22" ht="15.75" customHeight="1">
      <c r="A6" s="37" t="s">
        <v>103</v>
      </c>
      <c r="B6" s="38" t="s">
        <v>106</v>
      </c>
      <c r="C6" s="37" t="s">
        <v>107</v>
      </c>
      <c r="D6" s="40" t="s">
        <v>33</v>
      </c>
      <c r="E6" s="109">
        <v>20</v>
      </c>
      <c r="F6" s="109">
        <v>45</v>
      </c>
      <c r="G6" s="10">
        <v>32</v>
      </c>
      <c r="H6" s="10">
        <v>44</v>
      </c>
      <c r="I6" s="10">
        <v>33</v>
      </c>
      <c r="J6" s="10">
        <v>35</v>
      </c>
      <c r="K6" s="10">
        <v>45</v>
      </c>
      <c r="L6" s="10">
        <v>39</v>
      </c>
      <c r="M6" s="10">
        <v>35</v>
      </c>
      <c r="N6" s="10">
        <v>62</v>
      </c>
      <c r="O6" s="10">
        <v>16</v>
      </c>
      <c r="P6" s="10">
        <v>56</v>
      </c>
      <c r="Q6" s="10">
        <v>26</v>
      </c>
      <c r="R6" s="10">
        <v>32</v>
      </c>
      <c r="S6" s="10">
        <v>23</v>
      </c>
      <c r="T6" s="10">
        <v>36</v>
      </c>
      <c r="U6" s="10">
        <v>26</v>
      </c>
      <c r="V6" s="10">
        <v>19</v>
      </c>
    </row>
    <row r="7" spans="1:22" ht="15.75" customHeight="1">
      <c r="A7" s="37" t="s">
        <v>103</v>
      </c>
      <c r="B7" s="38" t="s">
        <v>108</v>
      </c>
      <c r="C7" s="37" t="s">
        <v>109</v>
      </c>
      <c r="D7" s="44" t="s">
        <v>33</v>
      </c>
      <c r="E7" s="155">
        <v>0.3</v>
      </c>
      <c r="F7" s="155">
        <v>0.35</v>
      </c>
      <c r="G7" s="42">
        <v>0.36</v>
      </c>
      <c r="H7" s="42">
        <v>0.36</v>
      </c>
      <c r="I7" s="42">
        <v>0.33</v>
      </c>
      <c r="J7" s="42">
        <v>0.34</v>
      </c>
      <c r="K7" s="42">
        <v>0.37</v>
      </c>
      <c r="L7" s="42">
        <v>0.38</v>
      </c>
      <c r="M7" s="42">
        <v>0.43</v>
      </c>
      <c r="N7" s="42">
        <v>0.41</v>
      </c>
      <c r="O7" s="42">
        <v>0.41</v>
      </c>
      <c r="P7" s="42">
        <v>0.41</v>
      </c>
      <c r="Q7" s="42">
        <v>0.41</v>
      </c>
      <c r="R7" s="42">
        <v>0.32</v>
      </c>
      <c r="S7" s="42">
        <v>0.32990000000000003</v>
      </c>
      <c r="T7" s="42">
        <v>0.35039999999999999</v>
      </c>
      <c r="U7" s="42">
        <v>0.36</v>
      </c>
      <c r="V7" s="42">
        <v>0.49</v>
      </c>
    </row>
    <row r="8" spans="1:22" s="9" customFormat="1" ht="15.75" customHeight="1">
      <c r="A8" s="16" t="s">
        <v>110</v>
      </c>
      <c r="B8" s="17"/>
      <c r="C8" s="18"/>
      <c r="D8" s="19"/>
      <c r="E8" s="20"/>
      <c r="F8" s="2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7"/>
      <c r="S8" s="17"/>
      <c r="T8" s="17"/>
      <c r="U8" s="17"/>
      <c r="V8" s="17"/>
    </row>
    <row r="9" spans="1:22" ht="15.75" customHeight="1">
      <c r="A9" s="37" t="s">
        <v>103</v>
      </c>
      <c r="B9" s="43" t="s">
        <v>47</v>
      </c>
      <c r="C9" s="37" t="s">
        <v>48</v>
      </c>
      <c r="D9" s="40" t="s">
        <v>33</v>
      </c>
      <c r="E9" s="109">
        <v>1000</v>
      </c>
      <c r="F9" s="109">
        <v>2000</v>
      </c>
      <c r="G9" s="10">
        <v>1508</v>
      </c>
      <c r="H9" s="10">
        <v>1779</v>
      </c>
      <c r="I9" s="10">
        <v>1050</v>
      </c>
      <c r="J9" s="10">
        <v>900</v>
      </c>
      <c r="K9" s="10">
        <v>1399</v>
      </c>
      <c r="L9" s="10">
        <v>1530</v>
      </c>
      <c r="M9" s="10">
        <v>1438</v>
      </c>
      <c r="N9" s="10">
        <v>1155</v>
      </c>
      <c r="O9" s="10">
        <v>1799</v>
      </c>
      <c r="P9" s="10">
        <v>1955</v>
      </c>
      <c r="Q9" s="10">
        <v>1459</v>
      </c>
      <c r="R9" s="10">
        <v>1758</v>
      </c>
      <c r="S9" s="10">
        <v>1737</v>
      </c>
      <c r="T9" s="10">
        <v>1850</v>
      </c>
      <c r="U9" s="10">
        <v>1082</v>
      </c>
      <c r="V9" s="10">
        <v>722</v>
      </c>
    </row>
    <row r="10" spans="1:22" ht="15.75" customHeight="1">
      <c r="A10" s="11" t="s">
        <v>111</v>
      </c>
      <c r="B10" s="11" t="s">
        <v>112</v>
      </c>
      <c r="C10" s="11" t="s">
        <v>113</v>
      </c>
      <c r="D10" s="67" t="s">
        <v>33</v>
      </c>
      <c r="E10" s="150">
        <v>50</v>
      </c>
      <c r="F10" s="150">
        <v>250</v>
      </c>
      <c r="G10" s="10">
        <v>856</v>
      </c>
      <c r="H10" s="10">
        <v>472</v>
      </c>
      <c r="I10" s="10">
        <v>0</v>
      </c>
      <c r="J10" s="10">
        <v>83</v>
      </c>
      <c r="K10" s="10">
        <v>137</v>
      </c>
      <c r="L10" s="10">
        <v>136</v>
      </c>
      <c r="M10" s="10">
        <v>69</v>
      </c>
      <c r="N10" s="10">
        <v>30</v>
      </c>
      <c r="O10" s="10">
        <v>336</v>
      </c>
      <c r="P10" s="10">
        <v>207</v>
      </c>
      <c r="Q10" s="10">
        <v>233</v>
      </c>
      <c r="R10" s="10">
        <v>85</v>
      </c>
      <c r="S10" s="10">
        <v>194</v>
      </c>
      <c r="T10" s="10">
        <v>43</v>
      </c>
      <c r="U10" s="10">
        <v>0</v>
      </c>
      <c r="V10" s="10">
        <v>0</v>
      </c>
    </row>
    <row r="11" spans="1:22" ht="15.75" customHeight="1">
      <c r="A11" s="11" t="s">
        <v>111</v>
      </c>
      <c r="B11" s="11" t="s">
        <v>114</v>
      </c>
      <c r="C11" s="11" t="s">
        <v>115</v>
      </c>
      <c r="D11" s="67" t="s">
        <v>33</v>
      </c>
      <c r="E11" s="156">
        <v>650</v>
      </c>
      <c r="F11" s="156">
        <v>850</v>
      </c>
      <c r="G11" s="140">
        <v>711.28</v>
      </c>
      <c r="H11" s="10">
        <v>1531.4</v>
      </c>
      <c r="I11" s="10">
        <v>495.42</v>
      </c>
      <c r="J11" s="10">
        <v>1101.1199999999999</v>
      </c>
      <c r="K11" s="10">
        <v>678.63</v>
      </c>
      <c r="L11" s="10">
        <v>528.86</v>
      </c>
      <c r="M11" s="10">
        <v>615.52</v>
      </c>
      <c r="N11" s="10">
        <v>990.64</v>
      </c>
      <c r="O11" s="10">
        <v>1039.6300000000001</v>
      </c>
      <c r="P11" s="10">
        <v>1132.01</v>
      </c>
      <c r="Q11" s="10">
        <v>1204.19</v>
      </c>
      <c r="R11" s="140">
        <v>868.4</v>
      </c>
      <c r="S11" s="10">
        <v>629.49</v>
      </c>
      <c r="T11" s="10">
        <v>934.06</v>
      </c>
      <c r="U11" s="10">
        <v>803.49</v>
      </c>
      <c r="V11" s="10">
        <v>398.12</v>
      </c>
    </row>
    <row r="12" spans="1:22" ht="15.75" customHeight="1">
      <c r="A12" s="22" t="s">
        <v>116</v>
      </c>
      <c r="B12" s="23"/>
      <c r="C12" s="24"/>
      <c r="D12" s="25"/>
      <c r="E12" s="73"/>
      <c r="F12" s="73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23"/>
      <c r="S12" s="23"/>
      <c r="T12" s="23"/>
      <c r="U12" s="23"/>
      <c r="V12" s="23"/>
    </row>
    <row r="13" spans="1:22" ht="15.75" customHeight="1">
      <c r="A13" s="37" t="s">
        <v>103</v>
      </c>
      <c r="B13" s="37" t="s">
        <v>64</v>
      </c>
      <c r="C13" s="66" t="s">
        <v>117</v>
      </c>
      <c r="D13" s="68" t="s">
        <v>64</v>
      </c>
      <c r="E13" s="109">
        <v>6</v>
      </c>
      <c r="F13" s="109">
        <v>3</v>
      </c>
      <c r="G13" s="10">
        <v>4</v>
      </c>
      <c r="H13" s="10">
        <v>5</v>
      </c>
      <c r="I13" s="10">
        <v>5</v>
      </c>
      <c r="J13" s="10">
        <v>4</v>
      </c>
      <c r="K13" s="10">
        <v>1</v>
      </c>
      <c r="L13" s="10">
        <v>5</v>
      </c>
      <c r="M13" s="10">
        <v>3</v>
      </c>
      <c r="N13" s="10">
        <v>3</v>
      </c>
      <c r="O13" s="10">
        <v>3</v>
      </c>
      <c r="P13" s="10">
        <v>1</v>
      </c>
      <c r="Q13" s="10">
        <v>0</v>
      </c>
      <c r="R13" s="10">
        <v>3</v>
      </c>
      <c r="S13" s="10">
        <v>3</v>
      </c>
      <c r="T13" s="10">
        <v>3</v>
      </c>
      <c r="U13" s="10">
        <v>1</v>
      </c>
      <c r="V13" s="10">
        <v>3</v>
      </c>
    </row>
    <row r="14" spans="1:22" ht="15.75" customHeight="1">
      <c r="A14" s="37" t="s">
        <v>103</v>
      </c>
      <c r="B14" s="37" t="s">
        <v>118</v>
      </c>
      <c r="C14" s="66" t="s">
        <v>119</v>
      </c>
      <c r="D14" s="68" t="s">
        <v>120</v>
      </c>
      <c r="E14" s="109">
        <v>250</v>
      </c>
      <c r="F14" s="109">
        <v>350</v>
      </c>
      <c r="G14" s="10">
        <v>344</v>
      </c>
      <c r="H14" s="10">
        <v>347</v>
      </c>
      <c r="I14" s="10">
        <v>303</v>
      </c>
      <c r="J14" s="10">
        <v>258</v>
      </c>
      <c r="K14" s="10">
        <v>341</v>
      </c>
      <c r="L14" s="10">
        <v>373</v>
      </c>
      <c r="M14" s="10">
        <v>373</v>
      </c>
      <c r="N14" s="10">
        <v>296</v>
      </c>
      <c r="O14" s="10">
        <v>391</v>
      </c>
      <c r="P14" s="10">
        <v>387</v>
      </c>
      <c r="Q14" s="10">
        <v>386</v>
      </c>
      <c r="R14" s="10">
        <v>327</v>
      </c>
      <c r="S14" s="10">
        <v>321</v>
      </c>
      <c r="T14" s="10">
        <v>311</v>
      </c>
      <c r="U14" s="10">
        <v>262</v>
      </c>
      <c r="V14" s="10">
        <v>245</v>
      </c>
    </row>
    <row r="15" spans="1:22" ht="15.75" customHeight="1">
      <c r="A15" s="37" t="s">
        <v>103</v>
      </c>
      <c r="B15" s="37" t="s">
        <v>121</v>
      </c>
      <c r="C15" s="66" t="s">
        <v>122</v>
      </c>
      <c r="D15" s="68" t="s">
        <v>123</v>
      </c>
      <c r="E15" s="109">
        <v>95</v>
      </c>
      <c r="F15" s="109">
        <v>98</v>
      </c>
      <c r="G15" s="10">
        <v>98</v>
      </c>
      <c r="H15" s="10">
        <v>99</v>
      </c>
      <c r="I15" s="10">
        <v>99</v>
      </c>
      <c r="J15" s="10">
        <v>99</v>
      </c>
      <c r="K15" s="10">
        <v>99</v>
      </c>
      <c r="L15" s="10">
        <v>99</v>
      </c>
      <c r="M15" s="10">
        <v>99</v>
      </c>
      <c r="N15" s="10">
        <v>99</v>
      </c>
      <c r="O15" s="10">
        <v>99</v>
      </c>
      <c r="P15" s="10">
        <v>99</v>
      </c>
      <c r="Q15" s="10">
        <v>99</v>
      </c>
      <c r="R15" s="10">
        <v>99</v>
      </c>
      <c r="S15" s="10">
        <v>90</v>
      </c>
      <c r="T15" s="10">
        <v>90</v>
      </c>
      <c r="U15" s="10">
        <v>90</v>
      </c>
      <c r="V15" s="10">
        <v>90</v>
      </c>
    </row>
    <row r="16" spans="1:22" ht="15.75" customHeight="1">
      <c r="A16" s="37" t="s">
        <v>103</v>
      </c>
      <c r="B16" s="37" t="s">
        <v>124</v>
      </c>
      <c r="C16" s="66" t="s">
        <v>125</v>
      </c>
      <c r="D16" s="106" t="s">
        <v>126</v>
      </c>
      <c r="E16" s="39">
        <v>5000</v>
      </c>
      <c r="F16" s="39">
        <v>7000</v>
      </c>
      <c r="G16" s="10">
        <v>4924</v>
      </c>
      <c r="H16" s="10">
        <v>4409</v>
      </c>
      <c r="I16" s="10">
        <v>4980</v>
      </c>
      <c r="J16" s="10">
        <v>4987</v>
      </c>
      <c r="K16" s="10">
        <v>5198</v>
      </c>
      <c r="L16" s="10">
        <v>5228</v>
      </c>
      <c r="M16" s="10">
        <v>5314</v>
      </c>
      <c r="N16" s="10">
        <v>4983</v>
      </c>
      <c r="O16" s="10">
        <v>5053</v>
      </c>
      <c r="P16" s="10">
        <v>4795</v>
      </c>
      <c r="Q16" s="10">
        <v>4953</v>
      </c>
      <c r="R16" s="10">
        <v>5006</v>
      </c>
      <c r="S16" s="10">
        <v>4676</v>
      </c>
      <c r="T16" s="10">
        <v>7578</v>
      </c>
      <c r="U16" s="10">
        <v>7592</v>
      </c>
      <c r="V16" s="10">
        <v>7465</v>
      </c>
    </row>
    <row r="17" spans="1:22" ht="15.75" customHeight="1">
      <c r="A17" s="37" t="s">
        <v>103</v>
      </c>
      <c r="B17" s="37" t="s">
        <v>127</v>
      </c>
      <c r="C17" s="66" t="s">
        <v>125</v>
      </c>
      <c r="D17" s="106" t="s">
        <v>126</v>
      </c>
      <c r="E17" s="109">
        <v>15000</v>
      </c>
      <c r="F17" s="109">
        <v>17000</v>
      </c>
      <c r="G17" s="10">
        <v>16973</v>
      </c>
      <c r="H17" s="10">
        <v>16976</v>
      </c>
      <c r="I17" s="10">
        <v>17663</v>
      </c>
      <c r="J17" s="10">
        <v>18117</v>
      </c>
      <c r="K17" s="10">
        <v>18952</v>
      </c>
      <c r="L17" s="10">
        <v>18718</v>
      </c>
      <c r="M17" s="10">
        <v>19045</v>
      </c>
      <c r="N17" s="10">
        <v>16514</v>
      </c>
      <c r="O17" s="10">
        <v>16079</v>
      </c>
      <c r="P17" s="10">
        <v>16057</v>
      </c>
      <c r="Q17" s="10">
        <v>16453</v>
      </c>
      <c r="R17" s="10">
        <v>16877</v>
      </c>
      <c r="S17" s="10">
        <v>16501</v>
      </c>
      <c r="T17" s="10">
        <v>19760</v>
      </c>
      <c r="U17" s="10">
        <v>19178</v>
      </c>
      <c r="V17" s="10">
        <v>18633</v>
      </c>
    </row>
    <row r="18" spans="1:22" ht="15.75" customHeight="1">
      <c r="A18" s="37"/>
      <c r="B18" s="37"/>
      <c r="C18" s="66"/>
      <c r="D18" s="106"/>
      <c r="E18" s="109"/>
      <c r="F18" s="109"/>
    </row>
    <row r="19" spans="1:22" ht="15" customHeight="1">
      <c r="A19" s="133" t="s">
        <v>103</v>
      </c>
      <c r="B19" s="133" t="s">
        <v>128</v>
      </c>
      <c r="C19" s="133" t="s">
        <v>129</v>
      </c>
      <c r="D19" s="40" t="s">
        <v>126</v>
      </c>
      <c r="E19" s="133">
        <v>1000</v>
      </c>
      <c r="F19" s="133">
        <v>3000</v>
      </c>
      <c r="G19" s="10">
        <v>1611</v>
      </c>
      <c r="H19" s="10">
        <v>1579</v>
      </c>
      <c r="I19" s="10">
        <v>1506</v>
      </c>
      <c r="J19" s="10">
        <v>1974</v>
      </c>
      <c r="K19" s="10">
        <v>2623</v>
      </c>
      <c r="L19" s="10">
        <v>2599</v>
      </c>
      <c r="M19" s="10">
        <v>2643</v>
      </c>
      <c r="N19" s="10">
        <v>2080</v>
      </c>
      <c r="O19" s="10">
        <v>1403</v>
      </c>
      <c r="P19" s="10">
        <v>1675</v>
      </c>
      <c r="Q19" s="10">
        <v>1679</v>
      </c>
      <c r="R19" s="10">
        <v>1738</v>
      </c>
      <c r="S19" s="10">
        <v>1493</v>
      </c>
      <c r="T19" s="10">
        <v>1767</v>
      </c>
      <c r="U19" s="10">
        <v>1871</v>
      </c>
      <c r="V19" s="10">
        <v>1870</v>
      </c>
    </row>
    <row r="20" spans="1:22" ht="15.75" customHeight="1">
      <c r="A20" s="37" t="s">
        <v>103</v>
      </c>
      <c r="B20" s="37" t="s">
        <v>130</v>
      </c>
      <c r="C20" s="66" t="s">
        <v>125</v>
      </c>
      <c r="D20" s="106" t="s">
        <v>126</v>
      </c>
      <c r="E20" s="74">
        <v>4.1666666666666664E-2</v>
      </c>
      <c r="F20" s="74">
        <v>8.3333333333333329E-2</v>
      </c>
      <c r="G20" s="41">
        <v>5.2083333333333336E-2</v>
      </c>
      <c r="H20" s="41">
        <v>5.6250000000000001E-2</v>
      </c>
      <c r="I20" s="41">
        <v>5.486111111111111E-2</v>
      </c>
      <c r="J20" s="41">
        <v>5.0694444444444445E-2</v>
      </c>
      <c r="K20" s="41">
        <v>0.05</v>
      </c>
      <c r="L20" s="41">
        <v>4.583333333333333E-2</v>
      </c>
      <c r="M20" s="41">
        <v>4.6527777777777779E-2</v>
      </c>
      <c r="N20" s="41">
        <v>4.2361111111111113E-2</v>
      </c>
      <c r="O20" s="41">
        <v>4.3055555555555555E-2</v>
      </c>
      <c r="P20" s="41">
        <v>4.4444444444444446E-2</v>
      </c>
      <c r="Q20" s="41">
        <v>4.4444444444444446E-2</v>
      </c>
      <c r="R20" s="41">
        <v>4.5138888888888888E-2</v>
      </c>
      <c r="S20" s="41">
        <v>4.8611111111111112E-2</v>
      </c>
      <c r="T20" s="41">
        <v>3.6805555555555557E-2</v>
      </c>
      <c r="U20" s="41">
        <v>3.6805555555555557E-2</v>
      </c>
      <c r="V20" s="41">
        <v>3.4722222222222224E-2</v>
      </c>
    </row>
    <row r="21" spans="1:22" ht="15.75" hidden="1" customHeight="1">
      <c r="A21" s="21" t="s">
        <v>103</v>
      </c>
      <c r="B21" s="32" t="s">
        <v>131</v>
      </c>
      <c r="C21" s="33" t="s">
        <v>132</v>
      </c>
      <c r="D21" s="34" t="s">
        <v>133</v>
      </c>
      <c r="E21" s="75" t="s">
        <v>134</v>
      </c>
      <c r="F21" s="75">
        <f>'Public Engagement'!E23</f>
        <v>500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1:22" ht="15.75" customHeight="1">
      <c r="A22" s="22" t="s">
        <v>135</v>
      </c>
      <c r="B22" s="23"/>
      <c r="C22" s="24"/>
      <c r="D22" s="25"/>
      <c r="E22" s="76"/>
      <c r="F22" s="7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ht="15.75" customHeight="1">
      <c r="A23" s="69" t="s">
        <v>136</v>
      </c>
      <c r="B23" s="69" t="s">
        <v>137</v>
      </c>
      <c r="C23" s="69" t="s">
        <v>138</v>
      </c>
      <c r="D23" s="70" t="s">
        <v>139</v>
      </c>
      <c r="E23" s="77">
        <v>500</v>
      </c>
      <c r="F23" s="77">
        <v>1000</v>
      </c>
      <c r="G23" s="10">
        <v>1200</v>
      </c>
      <c r="H23" s="10">
        <v>1500</v>
      </c>
      <c r="I23" s="10">
        <v>1600</v>
      </c>
      <c r="J23" s="10">
        <v>843</v>
      </c>
      <c r="K23" s="10">
        <v>661</v>
      </c>
      <c r="L23" s="10">
        <v>1500</v>
      </c>
      <c r="M23" s="10">
        <v>488</v>
      </c>
      <c r="N23" s="10">
        <v>341</v>
      </c>
      <c r="O23" s="10">
        <v>2100</v>
      </c>
      <c r="P23" s="10">
        <v>669</v>
      </c>
      <c r="Q23" s="10">
        <v>1600</v>
      </c>
      <c r="R23" s="10">
        <v>2600</v>
      </c>
      <c r="S23" s="10">
        <v>546</v>
      </c>
      <c r="T23" s="10">
        <v>539</v>
      </c>
      <c r="U23" s="10">
        <v>726</v>
      </c>
      <c r="V23" s="10">
        <v>1500</v>
      </c>
    </row>
    <row r="24" spans="1:22" ht="15.75" customHeight="1">
      <c r="A24" s="69" t="s">
        <v>136</v>
      </c>
      <c r="B24" s="69" t="s">
        <v>140</v>
      </c>
      <c r="C24" s="69" t="s">
        <v>141</v>
      </c>
      <c r="D24" s="70" t="s">
        <v>139</v>
      </c>
      <c r="E24" s="132">
        <v>10000</v>
      </c>
      <c r="F24" s="132">
        <v>18000</v>
      </c>
      <c r="G24" s="10">
        <v>16600</v>
      </c>
      <c r="H24" s="10">
        <v>9400</v>
      </c>
      <c r="I24" s="10">
        <v>15600</v>
      </c>
      <c r="J24" s="10">
        <v>10000</v>
      </c>
      <c r="K24" s="10">
        <v>11400</v>
      </c>
      <c r="L24" s="10">
        <v>9800</v>
      </c>
      <c r="M24" s="10">
        <v>16200</v>
      </c>
      <c r="N24" s="10">
        <v>11400</v>
      </c>
      <c r="O24" s="10">
        <v>7400</v>
      </c>
      <c r="P24" s="10">
        <v>6500</v>
      </c>
      <c r="Q24" s="10">
        <v>36900</v>
      </c>
      <c r="R24" s="10">
        <v>15900</v>
      </c>
      <c r="S24" s="10">
        <v>16700</v>
      </c>
      <c r="T24" s="10">
        <v>18800</v>
      </c>
      <c r="U24" s="10">
        <v>16900</v>
      </c>
      <c r="V24" s="10">
        <v>23900</v>
      </c>
    </row>
    <row r="25" spans="1:22" ht="15.75" customHeight="1">
      <c r="A25" s="69" t="s">
        <v>136</v>
      </c>
      <c r="B25" s="69" t="s">
        <v>142</v>
      </c>
      <c r="C25" s="71" t="s">
        <v>143</v>
      </c>
      <c r="D25" s="72" t="s">
        <v>144</v>
      </c>
      <c r="E25" s="132">
        <v>6000</v>
      </c>
      <c r="F25" s="132">
        <v>6250</v>
      </c>
      <c r="G25" s="45">
        <v>5985</v>
      </c>
      <c r="H25" s="45">
        <v>5988</v>
      </c>
      <c r="I25" s="45">
        <v>6045</v>
      </c>
      <c r="J25" s="45">
        <v>6049</v>
      </c>
      <c r="K25" s="45">
        <v>6075</v>
      </c>
      <c r="L25" s="45">
        <v>6075</v>
      </c>
      <c r="M25" s="45">
        <v>6078</v>
      </c>
      <c r="N25" s="45">
        <v>6147</v>
      </c>
      <c r="O25" s="45">
        <v>6150</v>
      </c>
      <c r="P25" s="45">
        <v>6167</v>
      </c>
      <c r="Q25" s="45">
        <v>6190</v>
      </c>
      <c r="R25" s="45">
        <v>6235</v>
      </c>
      <c r="S25" s="45">
        <v>6229</v>
      </c>
      <c r="T25" s="45">
        <v>6238</v>
      </c>
      <c r="U25" s="45">
        <v>6241</v>
      </c>
      <c r="V25" s="45">
        <v>6295</v>
      </c>
    </row>
    <row r="26" spans="1:22" ht="15.75" customHeight="1">
      <c r="A26" s="69" t="s">
        <v>136</v>
      </c>
      <c r="B26" s="69" t="s">
        <v>145</v>
      </c>
      <c r="C26" s="71" t="s">
        <v>146</v>
      </c>
      <c r="D26" s="72" t="s">
        <v>144</v>
      </c>
      <c r="E26" s="78">
        <v>0.4</v>
      </c>
      <c r="F26" s="78">
        <v>0.5</v>
      </c>
      <c r="G26" s="105" t="s">
        <v>147</v>
      </c>
      <c r="H26" s="105" t="s">
        <v>147</v>
      </c>
      <c r="I26" s="105" t="s">
        <v>147</v>
      </c>
      <c r="J26" s="105">
        <v>9.5000000000000001E-2</v>
      </c>
      <c r="K26" s="105" t="s">
        <v>147</v>
      </c>
      <c r="L26" s="105" t="s">
        <v>147</v>
      </c>
      <c r="M26" s="105" t="s">
        <v>147</v>
      </c>
      <c r="N26" s="105" t="s">
        <v>147</v>
      </c>
      <c r="O26" s="105">
        <v>0.1</v>
      </c>
      <c r="P26" s="105" t="s">
        <v>147</v>
      </c>
      <c r="Q26" s="105" t="s">
        <v>147</v>
      </c>
      <c r="R26" s="105" t="s">
        <v>147</v>
      </c>
      <c r="S26" s="105">
        <v>0.22800000000000001</v>
      </c>
      <c r="T26" s="105" t="s">
        <v>147</v>
      </c>
      <c r="U26" s="105" t="s">
        <v>147</v>
      </c>
      <c r="V26" s="105" t="s">
        <v>147</v>
      </c>
    </row>
    <row r="27" spans="1:22" ht="15.75" customHeight="1"/>
    <row r="28" spans="1:22" ht="15.75" customHeight="1"/>
    <row r="29" spans="1:22" ht="15.75" customHeight="1"/>
    <row r="30" spans="1:22" ht="15.75" customHeight="1"/>
    <row r="31" spans="1:22" ht="15.75" customHeight="1"/>
    <row r="32" spans="1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conditionalFormatting sqref="G5:V5">
    <cfRule type="cellIs" dxfId="57" priority="61" operator="lessThan">
      <formula>1700</formula>
    </cfRule>
    <cfRule type="cellIs" dxfId="56" priority="62" operator="between">
      <formula>1700</formula>
      <formula>1800</formula>
    </cfRule>
    <cfRule type="cellIs" dxfId="55" priority="63" operator="greaterThanOrEqual">
      <formula>1800</formula>
    </cfRule>
  </conditionalFormatting>
  <conditionalFormatting sqref="G5:V7 G23:V25">
    <cfRule type="containsBlanks" dxfId="54" priority="55">
      <formula>LEN(TRIM(G5))=0</formula>
    </cfRule>
  </conditionalFormatting>
  <conditionalFormatting sqref="G6:V6">
    <cfRule type="cellIs" dxfId="53" priority="64" operator="lessThan">
      <formula>20</formula>
    </cfRule>
    <cfRule type="cellIs" dxfId="52" priority="65" operator="between">
      <formula>20</formula>
      <formula>45</formula>
    </cfRule>
    <cfRule type="cellIs" dxfId="51" priority="66" operator="greaterThanOrEqual">
      <formula>45</formula>
    </cfRule>
  </conditionalFormatting>
  <conditionalFormatting sqref="G7:V7">
    <cfRule type="containsBlanks" dxfId="50" priority="51">
      <formula>LEN(TRIM(G7))=0</formula>
    </cfRule>
    <cfRule type="cellIs" dxfId="49" priority="52" operator="greaterThanOrEqual">
      <formula>0.35</formula>
    </cfRule>
    <cfRule type="cellIs" dxfId="48" priority="53" operator="between">
      <formula>0.3</formula>
      <formula>0.34</formula>
    </cfRule>
    <cfRule type="cellIs" dxfId="47" priority="54" operator="lessThan">
      <formula>0.3</formula>
    </cfRule>
  </conditionalFormatting>
  <conditionalFormatting sqref="G9:V9">
    <cfRule type="cellIs" dxfId="46" priority="47" operator="greaterThanOrEqual">
      <formula>1750</formula>
    </cfRule>
    <cfRule type="cellIs" dxfId="45" priority="48" operator="between">
      <formula>750</formula>
      <formula>1750</formula>
    </cfRule>
    <cfRule type="cellIs" dxfId="44" priority="49" operator="lessThan">
      <formula>750</formula>
    </cfRule>
  </conditionalFormatting>
  <conditionalFormatting sqref="G9:V11">
    <cfRule type="containsBlanks" dxfId="43" priority="38">
      <formula>LEN(TRIM(G9))=0</formula>
    </cfRule>
  </conditionalFormatting>
  <conditionalFormatting sqref="G10:V10">
    <cfRule type="cellIs" dxfId="42" priority="44" operator="greaterThanOrEqual">
      <formula>250</formula>
    </cfRule>
    <cfRule type="cellIs" dxfId="41" priority="45" operator="between">
      <formula>51</formula>
      <formula>250</formula>
    </cfRule>
  </conditionalFormatting>
  <conditionalFormatting sqref="G11:V11">
    <cfRule type="cellIs" dxfId="40" priority="39" operator="lessThan">
      <formula>650</formula>
    </cfRule>
    <cfRule type="cellIs" dxfId="39" priority="40" operator="between">
      <formula>650</formula>
      <formula>849</formula>
    </cfRule>
    <cfRule type="cellIs" dxfId="38" priority="41" operator="greaterThanOrEqual">
      <formula>850</formula>
    </cfRule>
  </conditionalFormatting>
  <conditionalFormatting sqref="G13:V13">
    <cfRule type="containsBlanks" dxfId="37" priority="22">
      <formula>LEN(TRIM(G13))=0</formula>
    </cfRule>
    <cfRule type="cellIs" dxfId="36" priority="23" operator="greaterThanOrEqual">
      <formula>6</formula>
    </cfRule>
    <cfRule type="cellIs" dxfId="35" priority="24" operator="between">
      <formula>5</formula>
      <formula>4</formula>
    </cfRule>
    <cfRule type="cellIs" dxfId="34" priority="25" operator="lessThanOrEqual">
      <formula>3</formula>
    </cfRule>
  </conditionalFormatting>
  <conditionalFormatting sqref="G14:V14">
    <cfRule type="cellIs" dxfId="33" priority="115" operator="lessThan">
      <formula>250</formula>
    </cfRule>
    <cfRule type="cellIs" dxfId="32" priority="116" operator="between">
      <formula>250</formula>
      <formula>349</formula>
    </cfRule>
    <cfRule type="cellIs" dxfId="31" priority="117" operator="greaterThanOrEqual">
      <formula>350</formula>
    </cfRule>
  </conditionalFormatting>
  <conditionalFormatting sqref="G14:V20">
    <cfRule type="containsBlanks" dxfId="30" priority="1">
      <formula>LEN(TRIM(G14))=0</formula>
    </cfRule>
  </conditionalFormatting>
  <conditionalFormatting sqref="G15:V15">
    <cfRule type="cellIs" dxfId="29" priority="112" operator="lessThan">
      <formula>90</formula>
    </cfRule>
    <cfRule type="cellIs" dxfId="28" priority="113" operator="between">
      <formula>90</formula>
      <formula>94</formula>
    </cfRule>
    <cfRule type="cellIs" dxfId="27" priority="114" operator="greaterThanOrEqual">
      <formula>95</formula>
    </cfRule>
  </conditionalFormatting>
  <conditionalFormatting sqref="G16:V16">
    <cfRule type="cellIs" dxfId="26" priority="106" operator="lessThan">
      <formula>5000</formula>
    </cfRule>
    <cfRule type="cellIs" dxfId="25" priority="107" operator="between">
      <formula>5000</formula>
      <formula>7000</formula>
    </cfRule>
    <cfRule type="cellIs" dxfId="24" priority="108" operator="greaterThanOrEqual">
      <formula>7000</formula>
    </cfRule>
  </conditionalFormatting>
  <conditionalFormatting sqref="G17:V18">
    <cfRule type="cellIs" dxfId="23" priority="3" operator="lessThan">
      <formula>15000</formula>
    </cfRule>
    <cfRule type="cellIs" dxfId="22" priority="4" operator="between">
      <formula>15000</formula>
      <formula>17000</formula>
    </cfRule>
    <cfRule type="cellIs" dxfId="21" priority="5" operator="greaterThan">
      <formula>17000</formula>
    </cfRule>
  </conditionalFormatting>
  <conditionalFormatting sqref="G19:V19">
    <cfRule type="cellIs" dxfId="20" priority="7" operator="lessThan">
      <formula>1000</formula>
    </cfRule>
    <cfRule type="cellIs" dxfId="19" priority="8" operator="between">
      <formula>1000</formula>
      <formula>3000</formula>
    </cfRule>
    <cfRule type="cellIs" dxfId="18" priority="9" operator="greaterThan">
      <formula>3000</formula>
    </cfRule>
  </conditionalFormatting>
  <conditionalFormatting sqref="G20:V20">
    <cfRule type="cellIs" dxfId="17" priority="98" operator="lessThan">
      <formula>0.0416666666666667</formula>
    </cfRule>
    <cfRule type="cellIs" dxfId="16" priority="99" operator="between">
      <formula>0.0416666666666667</formula>
      <formula>0.0833333333333333</formula>
    </cfRule>
    <cfRule type="cellIs" dxfId="15" priority="100" operator="greaterThanOrEqual">
      <formula>0.0833333333333333</formula>
    </cfRule>
  </conditionalFormatting>
  <conditionalFormatting sqref="G23:V23">
    <cfRule type="cellIs" dxfId="14" priority="94" operator="lessThan">
      <formula>500</formula>
    </cfRule>
    <cfRule type="cellIs" dxfId="13" priority="95" operator="between">
      <formula>500</formula>
      <formula>999</formula>
    </cfRule>
    <cfRule type="cellIs" dxfId="12" priority="96" operator="greaterThanOrEqual">
      <formula>1000</formula>
    </cfRule>
  </conditionalFormatting>
  <conditionalFormatting sqref="G24:V24">
    <cfRule type="cellIs" dxfId="11" priority="90" operator="lessThan">
      <formula>10000</formula>
    </cfRule>
    <cfRule type="cellIs" dxfId="10" priority="91" operator="between">
      <formula>10000</formula>
      <formula>17999</formula>
    </cfRule>
    <cfRule type="cellIs" dxfId="9" priority="92" operator="greaterThanOrEqual">
      <formula>18000</formula>
    </cfRule>
  </conditionalFormatting>
  <conditionalFormatting sqref="G25:V25">
    <cfRule type="cellIs" dxfId="8" priority="80" operator="equal">
      <formula>"-"</formula>
    </cfRule>
    <cfRule type="cellIs" dxfId="7" priority="86" operator="lessThan">
      <formula>6000</formula>
    </cfRule>
    <cfRule type="cellIs" dxfId="6" priority="87" operator="between">
      <formula>6000</formula>
      <formula>6249</formula>
    </cfRule>
    <cfRule type="cellIs" dxfId="5" priority="88" operator="greaterThanOrEqual">
      <formula>6250</formula>
    </cfRule>
  </conditionalFormatting>
  <conditionalFormatting sqref="G26:V26">
    <cfRule type="containsBlanks" dxfId="4" priority="34">
      <formula>LEN(TRIM(G26))=0</formula>
    </cfRule>
    <cfRule type="cellIs" dxfId="3" priority="35" operator="lessThan">
      <formula>0.4</formula>
    </cfRule>
    <cfRule type="cellIs" dxfId="2" priority="36" operator="between">
      <formula>0.4</formula>
      <formula>0.49</formula>
    </cfRule>
    <cfRule type="cellIs" dxfId="1" priority="37" operator="greaterThanOrEqual">
      <formula>0.5</formula>
    </cfRule>
  </conditionalFormatting>
  <conditionalFormatting sqref="H9 G10:V10">
    <cfRule type="cellIs" dxfId="0" priority="46" operator="lessThan">
      <formula>50</formula>
    </cfRule>
  </conditionalFormatting>
  <hyperlinks>
    <hyperlink ref="D14" r:id="rId1" xr:uid="{00000000-0004-0000-0500-000000000000}"/>
    <hyperlink ref="D15" r:id="rId2" xr:uid="{00000000-0004-0000-0500-000001000000}"/>
    <hyperlink ref="D17" r:id="rId3" location="/a100096157p350202095/reports/explorer?params=_u..nav%3Dmaui%26_u.comparisonOption%3Ddisabled%26_u.date00%3D20260319%26_u.date01%3D20260418&amp;r=all-pages-and-screens&amp;ruid=all-pages-and-screens,life-cycle,engagement&amp;collectionId=life-cycle" xr:uid="{00000000-0004-0000-0500-000003000000}"/>
    <hyperlink ref="D20" r:id="rId4" location="/a100096157p350202095/reports/explorer?params=_u..nav%3Dmaui%26_u.comparisonOption%3Ddisabled%26_u.date00%3D20260319%26_u.date01%3D20260418&amp;r=all-pages-and-screens&amp;ruid=all-pages-and-screens,life-cycle,engagement&amp;collectionId=life-cycle" xr:uid="{00000000-0004-0000-0500-000005000000}"/>
    <hyperlink ref="D21" r:id="rId5" location="/container/accounts/6005589727/containers/56493891/workspaces/3/tags" xr:uid="{00000000-0004-0000-0500-000006000000}"/>
    <hyperlink ref="D9" r:id="rId6" xr:uid="{3696FEF0-F87F-4CD3-B308-33C85ABD46AA}"/>
    <hyperlink ref="D24" r:id="rId7" xr:uid="{3151608F-D67B-4CC9-BCEC-7F1834253FC1}"/>
    <hyperlink ref="D26" r:id="rId8" location="t:campaigns-list" xr:uid="{704D492B-B8F8-40EC-9FC0-5A67029F4925}"/>
    <hyperlink ref="D11" r:id="rId9" xr:uid="{A0A161E3-0072-4623-A2C2-006AA2831BB4}"/>
    <hyperlink ref="D16" r:id="rId10" location="/a100096157p350202095/reports/explorer?params=_u..nav%3Dmaui%26_u.comparisonOption%3Ddisabled%26_u.date00%3D20260319%26_u.date01%3D20260418&amp;r=all-pages-and-screens&amp;ruid=all-pages-and-screens,life-cycle,engagement&amp;collectionId=life-cycle" xr:uid="{00000000-0004-0000-0500-000002000000}"/>
    <hyperlink ref="D5" r:id="rId11" xr:uid="{0DCCDC28-FEEC-44A9-965E-6EB29F418B56}"/>
    <hyperlink ref="D6" r:id="rId12" xr:uid="{0F13F577-02BB-4AC1-9CDA-FA3100750C09}"/>
    <hyperlink ref="D7" r:id="rId13" xr:uid="{A84C2042-7244-4C0A-80E3-0506797D326A}"/>
    <hyperlink ref="D10" r:id="rId14" xr:uid="{3D7E5422-E509-4364-AC64-5AE47CEF6823}"/>
    <hyperlink ref="D25" r:id="rId15" location="t:campaigns-list" xr:uid="{FD3443A2-37F5-43FD-902C-355DAF0647F4}"/>
    <hyperlink ref="D19" r:id="rId16" location="/analysis/a100096157p350202095/edit/hCJ_aJZ-RD-A75xAGTv64A" xr:uid="{422ADA2A-F70A-409D-A102-379AD71D827E}"/>
    <hyperlink ref="D23" r:id="rId17" xr:uid="{36D2A448-265E-4AA1-A215-04529DFA6B4C}"/>
  </hyperlinks>
  <pageMargins left="0" right="0" top="0" bottom="0" header="0" footer="0"/>
  <legacy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44DD46E8C2C49A47EE0DE2701FC02" ma:contentTypeVersion="22" ma:contentTypeDescription="Create a new document." ma:contentTypeScope="" ma:versionID="7cf538cb69dd6fa9b57dc3d65f040c6c">
  <xsd:schema xmlns:xsd="http://www.w3.org/2001/XMLSchema" xmlns:xs="http://www.w3.org/2001/XMLSchema" xmlns:p="http://schemas.microsoft.com/office/2006/metadata/properties" xmlns:ns2="4b07c0c2-f6ef-46e5-becf-22defbe88826" xmlns:ns3="e792c271-a7d9-4bcb-8411-3d1cb9cfe5bd" targetNamespace="http://schemas.microsoft.com/office/2006/metadata/properties" ma:root="true" ma:fieldsID="d0537f614132173c77c56255bb863268" ns2:_="" ns3:_="">
    <xsd:import namespace="4b07c0c2-f6ef-46e5-becf-22defbe88826"/>
    <xsd:import namespace="e792c271-a7d9-4bcb-8411-3d1cb9cfe5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7c0c2-f6ef-46e5-becf-22defbe888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6a3de58-15cb-4148-8ac5-1a2d1707f8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Image" ma:index="27" nillable="true" ma:displayName="Image" ma:format="Thumbnail" ma:internalName="Image">
      <xsd:simpleType>
        <xsd:restriction base="dms:Unknow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2c271-a7d9-4bcb-8411-3d1cb9cfe5b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0b370c2-c8b3-46cb-ad26-9d21c266fdb5}" ma:internalName="TaxCatchAll" ma:showField="CatchAllData" ma:web="e792c271-a7d9-4bcb-8411-3d1cb9cfe5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07c0c2-f6ef-46e5-becf-22defbe88826">
      <Terms xmlns="http://schemas.microsoft.com/office/infopath/2007/PartnerControls"/>
    </lcf76f155ced4ddcb4097134ff3c332f>
    <TaxCatchAll xmlns="e792c271-a7d9-4bcb-8411-3d1cb9cfe5bd" xsi:nil="true"/>
    <SharedWithUsers xmlns="e792c271-a7d9-4bcb-8411-3d1cb9cfe5bd">
      <UserInfo>
        <DisplayName/>
        <AccountId xsi:nil="true"/>
        <AccountType/>
      </UserInfo>
    </SharedWithUsers>
    <Image xmlns="4b07c0c2-f6ef-46e5-becf-22defbe88826" xsi:nil="true"/>
    <Comments xmlns="4b07c0c2-f6ef-46e5-becf-22defbe8882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69DD3D-97AB-4A2F-B1BF-918A42A71D63}"/>
</file>

<file path=customXml/itemProps2.xml><?xml version="1.0" encoding="utf-8"?>
<ds:datastoreItem xmlns:ds="http://schemas.openxmlformats.org/officeDocument/2006/customXml" ds:itemID="{153181C5-9202-45E8-A07F-16720890387C}"/>
</file>

<file path=customXml/itemProps3.xml><?xml version="1.0" encoding="utf-8"?>
<ds:datastoreItem xmlns:ds="http://schemas.openxmlformats.org/officeDocument/2006/customXml" ds:itemID="{B83798C3-DA66-420A-A641-7C5DF05A0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2024-03-11T17:59:49Z</dcterms:created>
  <dcterms:modified xsi:type="dcterms:W3CDTF">2026-09-18T04:44:37Z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0x0101005D244DD46E8C2C49A47EE0DE2701FC02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_activity">
    <vt:lpwstr>{"FileActivityType":"6","FileActivityTimeStamp":"2024-06-10T17:37:57.890Z","FileActivityUsersOnPage":[{"DisplayName":"Ashley Steckler","Id":"ashley@gscience.org"}],"FileActivityNavigationId":null}</vt:lpwstr>
  </property>
</Properties>
</file>